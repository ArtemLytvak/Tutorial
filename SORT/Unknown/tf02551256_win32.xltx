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810"/>
  <workbookPr autoCompressPictures="0"/>
  <mc:AlternateContent xmlns:mc="http://schemas.openxmlformats.org/markup-compatibility/2006">
    <mc:Choice Requires="x15">
      <x15ac:absPath xmlns:x15ac="http://schemas.microsoft.com/office/spreadsheetml/2010/11/ac" url="https://d.docs.live.net/39d36f27ee7502b0/WordTech_20190604_Accessibility_Excel_Q4_B12/04_PreDTP_Done/uk-UA/"/>
    </mc:Choice>
  </mc:AlternateContent>
  <xr:revisionPtr revIDLastSave="0" documentId="13_ncr:3_{6CEBDBB0-2E28-4FA4-A19F-02FE0356C128}" xr6:coauthVersionLast="43" xr6:coauthVersionMax="43" xr10:uidLastSave="{00000000-0000-0000-0000-000000000000}"/>
  <bookViews>
    <workbookView xWindow="-120" yWindow="-120" windowWidth="28170" windowHeight="14130" xr2:uid="{00000000-000D-0000-FFFF-FFFF00000000}"/>
  </bookViews>
  <sheets>
    <sheet name="Річний календар" sheetId="1" r:id="rId1"/>
  </sheets>
  <definedNames>
    <definedName name="БерНд1">DATE(КалендарРік,3,1)-WEEKDAY(DATE(КалендарРік,3,1))+1</definedName>
    <definedName name="ВерНд1">DATE(КалендарРік,9,1)-WEEKDAY(DATE(КалендарРік,9,1))+1</definedName>
    <definedName name="ГруНд1">DATE(КалендарРік,12,1)-WEEKDAY(DATE(КалендарРік,12,1))+1</definedName>
    <definedName name="ЖовНд1">DATE(КалендарРік,10,1)-WEEKDAY(DATE(КалендарРік,10,1))+1</definedName>
    <definedName name="КалендарРік">'Річний календар'!$C$1</definedName>
    <definedName name="КвіНд1">DATE(КалендарРік,4,1)-WEEKDAY(DATE(КалендарРік,4,1))+1</definedName>
    <definedName name="ЛипНд1">DATE(КалендарРік,7,1)-WEEKDAY(DATE(КалендарРік,7,1))+1</definedName>
    <definedName name="ЛисНд1">DATE(КалендарРік,11,1)-WEEKDAY(DATE(КалендарРік,11,1))+1</definedName>
    <definedName name="ЛютНд1">DATE(КалендарРік,2,1)-WEEKDAY(DATE(КалендарРік,2,1))+1</definedName>
    <definedName name="_xlnm.Print_Area" localSheetId="0">'Річний календар'!$B$1:$W$55</definedName>
    <definedName name="СерНд1">DATE(КалендарРік,8,1)-WEEKDAY(DATE(КалендарРік,8,1))+1</definedName>
    <definedName name="СічНд1">DATE(КалендарРік,1,1)-WEEKDAY(DATE(КалендарРік,1,1))+1</definedName>
    <definedName name="ТраНд1">DATE(КалендарРік,5,1)-WEEKDAY(DATE(КалендарРік,5,1))+1</definedName>
    <definedName name="ЧерНд1">DATE(КалендарРік,6,1)-WEEKDAY(DATE(КалендарРік,6,1))+1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" i="1" l="1"/>
  <c r="Q55" i="1" l="1"/>
  <c r="P55" i="1"/>
  <c r="O55" i="1"/>
  <c r="N55" i="1"/>
  <c r="M55" i="1"/>
  <c r="L55" i="1"/>
  <c r="K55" i="1"/>
  <c r="Q54" i="1"/>
  <c r="P54" i="1"/>
  <c r="O54" i="1"/>
  <c r="N54" i="1"/>
  <c r="M54" i="1"/>
  <c r="L54" i="1"/>
  <c r="K54" i="1"/>
  <c r="Q53" i="1"/>
  <c r="P53" i="1"/>
  <c r="O53" i="1"/>
  <c r="N53" i="1"/>
  <c r="M53" i="1"/>
  <c r="L53" i="1"/>
  <c r="K53" i="1"/>
  <c r="Q52" i="1"/>
  <c r="P52" i="1"/>
  <c r="O52" i="1"/>
  <c r="N52" i="1"/>
  <c r="M52" i="1"/>
  <c r="L52" i="1"/>
  <c r="K52" i="1"/>
  <c r="Q51" i="1"/>
  <c r="P51" i="1"/>
  <c r="O51" i="1"/>
  <c r="N51" i="1"/>
  <c r="M51" i="1"/>
  <c r="L51" i="1"/>
  <c r="K51" i="1"/>
  <c r="Q50" i="1"/>
  <c r="P50" i="1"/>
  <c r="O50" i="1"/>
  <c r="N50" i="1"/>
  <c r="M50" i="1"/>
  <c r="L50" i="1"/>
  <c r="K50" i="1"/>
  <c r="I55" i="1"/>
  <c r="H55" i="1"/>
  <c r="G55" i="1"/>
  <c r="F55" i="1"/>
  <c r="E55" i="1"/>
  <c r="D55" i="1"/>
  <c r="C55" i="1"/>
  <c r="I54" i="1"/>
  <c r="H54" i="1"/>
  <c r="G54" i="1"/>
  <c r="F54" i="1"/>
  <c r="E54" i="1"/>
  <c r="D54" i="1"/>
  <c r="C54" i="1"/>
  <c r="I53" i="1"/>
  <c r="H53" i="1"/>
  <c r="G53" i="1"/>
  <c r="F53" i="1"/>
  <c r="E53" i="1"/>
  <c r="D53" i="1"/>
  <c r="C53" i="1"/>
  <c r="I52" i="1"/>
  <c r="H52" i="1"/>
  <c r="G52" i="1"/>
  <c r="F52" i="1"/>
  <c r="E52" i="1"/>
  <c r="D52" i="1"/>
  <c r="C52" i="1"/>
  <c r="I51" i="1"/>
  <c r="H51" i="1"/>
  <c r="G51" i="1"/>
  <c r="F51" i="1"/>
  <c r="E51" i="1"/>
  <c r="D51" i="1"/>
  <c r="C51" i="1"/>
  <c r="I50" i="1"/>
  <c r="H50" i="1"/>
  <c r="G50" i="1"/>
  <c r="F50" i="1"/>
  <c r="E50" i="1"/>
  <c r="D50" i="1"/>
  <c r="C50" i="1"/>
  <c r="Q46" i="1"/>
  <c r="P46" i="1"/>
  <c r="O46" i="1"/>
  <c r="N46" i="1"/>
  <c r="M46" i="1"/>
  <c r="L46" i="1"/>
  <c r="K46" i="1"/>
  <c r="Q45" i="1"/>
  <c r="P45" i="1"/>
  <c r="O45" i="1"/>
  <c r="N45" i="1"/>
  <c r="M45" i="1"/>
  <c r="L45" i="1"/>
  <c r="K45" i="1"/>
  <c r="Q44" i="1"/>
  <c r="P44" i="1"/>
  <c r="O44" i="1"/>
  <c r="N44" i="1"/>
  <c r="M44" i="1"/>
  <c r="L44" i="1"/>
  <c r="K44" i="1"/>
  <c r="Q43" i="1"/>
  <c r="P43" i="1"/>
  <c r="O43" i="1"/>
  <c r="N43" i="1"/>
  <c r="M43" i="1"/>
  <c r="L43" i="1"/>
  <c r="K43" i="1"/>
  <c r="Q42" i="1"/>
  <c r="P42" i="1"/>
  <c r="O42" i="1"/>
  <c r="N42" i="1"/>
  <c r="M42" i="1"/>
  <c r="L42" i="1"/>
  <c r="K42" i="1"/>
  <c r="Q41" i="1"/>
  <c r="P41" i="1"/>
  <c r="O41" i="1"/>
  <c r="N41" i="1"/>
  <c r="M41" i="1"/>
  <c r="L41" i="1"/>
  <c r="K41" i="1"/>
  <c r="I46" i="1"/>
  <c r="H46" i="1"/>
  <c r="G46" i="1"/>
  <c r="F46" i="1"/>
  <c r="E46" i="1"/>
  <c r="D46" i="1"/>
  <c r="C46" i="1"/>
  <c r="I45" i="1"/>
  <c r="H45" i="1"/>
  <c r="G45" i="1"/>
  <c r="F45" i="1"/>
  <c r="E45" i="1"/>
  <c r="D45" i="1"/>
  <c r="C45" i="1"/>
  <c r="I44" i="1"/>
  <c r="H44" i="1"/>
  <c r="G44" i="1"/>
  <c r="F44" i="1"/>
  <c r="E44" i="1"/>
  <c r="D44" i="1"/>
  <c r="C44" i="1"/>
  <c r="I43" i="1"/>
  <c r="H43" i="1"/>
  <c r="G43" i="1"/>
  <c r="F43" i="1"/>
  <c r="E43" i="1"/>
  <c r="D43" i="1"/>
  <c r="C43" i="1"/>
  <c r="I42" i="1"/>
  <c r="H42" i="1"/>
  <c r="G42" i="1"/>
  <c r="F42" i="1"/>
  <c r="E42" i="1"/>
  <c r="D42" i="1"/>
  <c r="C42" i="1"/>
  <c r="I41" i="1"/>
  <c r="H41" i="1"/>
  <c r="G41" i="1"/>
  <c r="F41" i="1"/>
  <c r="E41" i="1"/>
  <c r="D41" i="1"/>
  <c r="C41" i="1"/>
  <c r="Q37" i="1"/>
  <c r="P37" i="1"/>
  <c r="O37" i="1"/>
  <c r="N37" i="1"/>
  <c r="M37" i="1"/>
  <c r="L37" i="1"/>
  <c r="K37" i="1"/>
  <c r="Q36" i="1"/>
  <c r="P36" i="1"/>
  <c r="O36" i="1"/>
  <c r="N36" i="1"/>
  <c r="M36" i="1"/>
  <c r="L36" i="1"/>
  <c r="K36" i="1"/>
  <c r="Q35" i="1"/>
  <c r="P35" i="1"/>
  <c r="O35" i="1"/>
  <c r="N35" i="1"/>
  <c r="M35" i="1"/>
  <c r="L35" i="1"/>
  <c r="K35" i="1"/>
  <c r="Q34" i="1"/>
  <c r="P34" i="1"/>
  <c r="O34" i="1"/>
  <c r="N34" i="1"/>
  <c r="M34" i="1"/>
  <c r="L34" i="1"/>
  <c r="K34" i="1"/>
  <c r="Q33" i="1"/>
  <c r="P33" i="1"/>
  <c r="O33" i="1"/>
  <c r="N33" i="1"/>
  <c r="M33" i="1"/>
  <c r="L33" i="1"/>
  <c r="K33" i="1"/>
  <c r="Q32" i="1"/>
  <c r="P32" i="1"/>
  <c r="O32" i="1"/>
  <c r="N32" i="1"/>
  <c r="M32" i="1"/>
  <c r="L32" i="1"/>
  <c r="K32" i="1"/>
  <c r="I37" i="1"/>
  <c r="H37" i="1"/>
  <c r="G37" i="1"/>
  <c r="F37" i="1"/>
  <c r="E37" i="1"/>
  <c r="D37" i="1"/>
  <c r="C37" i="1"/>
  <c r="I36" i="1"/>
  <c r="H36" i="1"/>
  <c r="G36" i="1"/>
  <c r="F36" i="1"/>
  <c r="E36" i="1"/>
  <c r="D36" i="1"/>
  <c r="C36" i="1"/>
  <c r="I35" i="1"/>
  <c r="H35" i="1"/>
  <c r="G35" i="1"/>
  <c r="F35" i="1"/>
  <c r="E35" i="1"/>
  <c r="D35" i="1"/>
  <c r="C35" i="1"/>
  <c r="I34" i="1"/>
  <c r="H34" i="1"/>
  <c r="G34" i="1"/>
  <c r="F34" i="1"/>
  <c r="E34" i="1"/>
  <c r="D34" i="1"/>
  <c r="C34" i="1"/>
  <c r="I33" i="1"/>
  <c r="H33" i="1"/>
  <c r="G33" i="1"/>
  <c r="F33" i="1"/>
  <c r="E33" i="1"/>
  <c r="D33" i="1"/>
  <c r="C33" i="1"/>
  <c r="I32" i="1"/>
  <c r="H32" i="1"/>
  <c r="G32" i="1"/>
  <c r="F32" i="1"/>
  <c r="E32" i="1"/>
  <c r="D32" i="1"/>
  <c r="C32" i="1"/>
  <c r="Q28" i="1"/>
  <c r="P28" i="1"/>
  <c r="O28" i="1"/>
  <c r="N28" i="1"/>
  <c r="M28" i="1"/>
  <c r="L28" i="1"/>
  <c r="K28" i="1"/>
  <c r="Q27" i="1"/>
  <c r="P27" i="1"/>
  <c r="O27" i="1"/>
  <c r="N27" i="1"/>
  <c r="M27" i="1"/>
  <c r="L27" i="1"/>
  <c r="K27" i="1"/>
  <c r="Q26" i="1"/>
  <c r="P26" i="1"/>
  <c r="O26" i="1"/>
  <c r="N26" i="1"/>
  <c r="M26" i="1"/>
  <c r="L26" i="1"/>
  <c r="K26" i="1"/>
  <c r="Q25" i="1"/>
  <c r="P25" i="1"/>
  <c r="O25" i="1"/>
  <c r="N25" i="1"/>
  <c r="M25" i="1"/>
  <c r="L25" i="1"/>
  <c r="K25" i="1"/>
  <c r="Q24" i="1"/>
  <c r="P24" i="1"/>
  <c r="O24" i="1"/>
  <c r="N24" i="1"/>
  <c r="M24" i="1"/>
  <c r="L24" i="1"/>
  <c r="K24" i="1"/>
  <c r="Q23" i="1"/>
  <c r="P23" i="1"/>
  <c r="O23" i="1"/>
  <c r="N23" i="1"/>
  <c r="M23" i="1"/>
  <c r="L23" i="1"/>
  <c r="K23" i="1"/>
  <c r="I28" i="1"/>
  <c r="H28" i="1"/>
  <c r="G28" i="1"/>
  <c r="F28" i="1"/>
  <c r="E28" i="1"/>
  <c r="D28" i="1"/>
  <c r="C28" i="1"/>
  <c r="I27" i="1"/>
  <c r="H27" i="1"/>
  <c r="G27" i="1"/>
  <c r="F27" i="1"/>
  <c r="E27" i="1"/>
  <c r="D27" i="1"/>
  <c r="C27" i="1"/>
  <c r="I26" i="1"/>
  <c r="H26" i="1"/>
  <c r="G26" i="1"/>
  <c r="F26" i="1"/>
  <c r="E26" i="1"/>
  <c r="D26" i="1"/>
  <c r="C26" i="1"/>
  <c r="I25" i="1"/>
  <c r="H25" i="1"/>
  <c r="G25" i="1"/>
  <c r="F25" i="1"/>
  <c r="E25" i="1"/>
  <c r="D25" i="1"/>
  <c r="C25" i="1"/>
  <c r="I24" i="1"/>
  <c r="H24" i="1"/>
  <c r="G24" i="1"/>
  <c r="F24" i="1"/>
  <c r="E24" i="1"/>
  <c r="D24" i="1"/>
  <c r="C24" i="1"/>
  <c r="I23" i="1"/>
  <c r="H23" i="1"/>
  <c r="G23" i="1"/>
  <c r="F23" i="1"/>
  <c r="E23" i="1"/>
  <c r="D23" i="1"/>
  <c r="C23" i="1"/>
  <c r="Q19" i="1"/>
  <c r="P19" i="1"/>
  <c r="O19" i="1"/>
  <c r="N19" i="1"/>
  <c r="M19" i="1"/>
  <c r="L19" i="1"/>
  <c r="K19" i="1"/>
  <c r="Q18" i="1"/>
  <c r="P18" i="1"/>
  <c r="O18" i="1"/>
  <c r="N18" i="1"/>
  <c r="M18" i="1"/>
  <c r="L18" i="1"/>
  <c r="K18" i="1"/>
  <c r="Q17" i="1"/>
  <c r="P17" i="1"/>
  <c r="O17" i="1"/>
  <c r="N17" i="1"/>
  <c r="M17" i="1"/>
  <c r="L17" i="1"/>
  <c r="K17" i="1"/>
  <c r="Q16" i="1"/>
  <c r="P16" i="1"/>
  <c r="O16" i="1"/>
  <c r="N16" i="1"/>
  <c r="M16" i="1"/>
  <c r="L16" i="1"/>
  <c r="K16" i="1"/>
  <c r="Q15" i="1"/>
  <c r="P15" i="1"/>
  <c r="O15" i="1"/>
  <c r="N15" i="1"/>
  <c r="M15" i="1"/>
  <c r="L15" i="1"/>
  <c r="K15" i="1"/>
  <c r="Q14" i="1"/>
  <c r="P14" i="1"/>
  <c r="O14" i="1"/>
  <c r="N14" i="1"/>
  <c r="M14" i="1"/>
  <c r="L14" i="1"/>
  <c r="K14" i="1"/>
  <c r="I19" i="1"/>
  <c r="H19" i="1"/>
  <c r="G19" i="1"/>
  <c r="F19" i="1"/>
  <c r="E19" i="1"/>
  <c r="D19" i="1"/>
  <c r="C19" i="1"/>
  <c r="I18" i="1"/>
  <c r="H18" i="1"/>
  <c r="G18" i="1"/>
  <c r="F18" i="1"/>
  <c r="E18" i="1"/>
  <c r="D18" i="1"/>
  <c r="C18" i="1"/>
  <c r="I17" i="1"/>
  <c r="H17" i="1"/>
  <c r="G17" i="1"/>
  <c r="F17" i="1"/>
  <c r="E17" i="1"/>
  <c r="D17" i="1"/>
  <c r="C17" i="1"/>
  <c r="I16" i="1"/>
  <c r="H16" i="1"/>
  <c r="G16" i="1"/>
  <c r="F16" i="1"/>
  <c r="E16" i="1"/>
  <c r="D16" i="1"/>
  <c r="C16" i="1"/>
  <c r="I15" i="1"/>
  <c r="H15" i="1"/>
  <c r="G15" i="1"/>
  <c r="F15" i="1"/>
  <c r="E15" i="1"/>
  <c r="D15" i="1"/>
  <c r="C15" i="1"/>
  <c r="I14" i="1"/>
  <c r="H14" i="1"/>
  <c r="G14" i="1"/>
  <c r="F14" i="1"/>
  <c r="E14" i="1"/>
  <c r="D14" i="1"/>
  <c r="C14" i="1"/>
  <c r="Q10" i="1"/>
  <c r="P10" i="1"/>
  <c r="O10" i="1"/>
  <c r="N10" i="1"/>
  <c r="M10" i="1"/>
  <c r="L10" i="1"/>
  <c r="K10" i="1"/>
  <c r="Q9" i="1"/>
  <c r="P9" i="1"/>
  <c r="O9" i="1"/>
  <c r="N9" i="1"/>
  <c r="M9" i="1"/>
  <c r="L9" i="1"/>
  <c r="K9" i="1"/>
  <c r="Q8" i="1"/>
  <c r="P8" i="1"/>
  <c r="O8" i="1"/>
  <c r="N8" i="1"/>
  <c r="M8" i="1"/>
  <c r="L8" i="1"/>
  <c r="K8" i="1"/>
  <c r="Q7" i="1"/>
  <c r="P7" i="1"/>
  <c r="O7" i="1"/>
  <c r="N7" i="1"/>
  <c r="M7" i="1"/>
  <c r="L7" i="1"/>
  <c r="K7" i="1"/>
  <c r="Q6" i="1"/>
  <c r="P6" i="1"/>
  <c r="O6" i="1"/>
  <c r="N6" i="1"/>
  <c r="M6" i="1"/>
  <c r="L6" i="1"/>
  <c r="K6" i="1"/>
  <c r="Q5" i="1"/>
  <c r="P5" i="1"/>
  <c r="O5" i="1"/>
  <c r="N5" i="1"/>
  <c r="M5" i="1"/>
  <c r="L5" i="1"/>
  <c r="K5" i="1"/>
  <c r="I10" i="1"/>
  <c r="H10" i="1"/>
  <c r="G10" i="1"/>
  <c r="F10" i="1"/>
  <c r="E10" i="1"/>
  <c r="D10" i="1"/>
  <c r="C10" i="1"/>
  <c r="I9" i="1"/>
  <c r="H9" i="1"/>
  <c r="G9" i="1"/>
  <c r="F9" i="1"/>
  <c r="E9" i="1"/>
  <c r="D9" i="1"/>
  <c r="C9" i="1"/>
  <c r="I8" i="1"/>
  <c r="H8" i="1"/>
  <c r="G8" i="1"/>
  <c r="F8" i="1"/>
  <c r="E8" i="1"/>
  <c r="D8" i="1"/>
  <c r="C8" i="1"/>
  <c r="I7" i="1"/>
  <c r="H7" i="1"/>
  <c r="G7" i="1"/>
  <c r="F7" i="1"/>
  <c r="E7" i="1"/>
  <c r="D7" i="1"/>
  <c r="C7" i="1"/>
  <c r="I6" i="1"/>
  <c r="H6" i="1"/>
  <c r="G6" i="1"/>
  <c r="F6" i="1"/>
  <c r="E6" i="1"/>
  <c r="D6" i="1"/>
  <c r="C6" i="1"/>
  <c r="I5" i="1"/>
  <c r="H5" i="1"/>
  <c r="G5" i="1"/>
  <c r="F5" i="1"/>
  <c r="E5" i="1"/>
  <c r="D5" i="1"/>
  <c r="C5" i="1"/>
</calcChain>
</file>

<file path=xl/sharedStrings.xml><?xml version="1.0" encoding="utf-8"?>
<sst xmlns="http://schemas.openxmlformats.org/spreadsheetml/2006/main" count="108" uniqueCount="29">
  <si>
    <t>СІЧЕНЬ</t>
  </si>
  <si>
    <t>П</t>
  </si>
  <si>
    <t>БЕРЕЗЕНЬ</t>
  </si>
  <si>
    <t>ТРАВЕНЬ</t>
  </si>
  <si>
    <t>ЛИПЕНЬ</t>
  </si>
  <si>
    <t>ВЕРЕСЕНЬ</t>
  </si>
  <si>
    <t>ЛИСТОПАД</t>
  </si>
  <si>
    <t>В</t>
  </si>
  <si>
    <t>Ч</t>
  </si>
  <si>
    <t>С</t>
  </si>
  <si>
    <t>Н</t>
  </si>
  <si>
    <t>ЛЮТИЙ</t>
  </si>
  <si>
    <t>КВІТЕНЬ</t>
  </si>
  <si>
    <t>ЧЕРВЕНЬ</t>
  </si>
  <si>
    <t>СЕРПЕНЬ</t>
  </si>
  <si>
    <t>ЖОВТЕНЬ</t>
  </si>
  <si>
    <t>ГРУДЕНЬ</t>
  </si>
  <si>
    <t>ВАЖЛИВІ ДАТИ</t>
  </si>
  <si>
    <t>1 СІЧНЯ</t>
  </si>
  <si>
    <t>НОВИЙ РІК</t>
  </si>
  <si>
    <t>14 ЛЮТОГО</t>
  </si>
  <si>
    <t>ДЕНЬ ВАЛЕНТИНА</t>
  </si>
  <si>
    <t>22 ЛЮТОГО</t>
  </si>
  <si>
    <t>ДЕНЬ ВІДКРИТИХ ДВЕРЕЙ</t>
  </si>
  <si>
    <t>вул. Довга, 123</t>
  </si>
  <si>
    <t>м. Дніпро, 12345</t>
  </si>
  <si>
    <t>(456) 555-01-23</t>
  </si>
  <si>
    <t>info@contoso.com</t>
  </si>
  <si>
    <t>www.contoso.com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</si>
</sst>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_);_(* \(#,##0\);_(* &quot;-&quot;_);_(@_)"/>
    <numFmt numFmtId="165" formatCode="_(* #,##0.00_);_(* \(#,##0.00\);_(* &quot;-&quot;??_);_(@_)"/>
    <numFmt numFmtId="166" formatCode="_-* #,##0.00\ &quot;₴&quot;_-;\-* #,##0.00\ &quot;₴&quot;_-;_-* &quot;-&quot;??\ &quot;₴&quot;_-;_-@_-"/>
    <numFmt numFmtId="167" formatCode="_-* #,##0\ &quot;₴&quot;_-;\-* #,##0\ &quot;₴&quot;_-;_-* &quot;-&quot;\ &quot;₴&quot;_-;_-@_-"/>
    <numFmt numFmtId="168" formatCode="d"/>
  </numFmts>
  <fonts count="30" x14ac:knownFonts="1"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ajor"/>
    </font>
    <font>
      <b/>
      <sz val="9.5"/>
      <color theme="8"/>
      <name val="Calibri"/>
      <family val="2"/>
      <scheme val="major"/>
    </font>
    <font>
      <b/>
      <sz val="26"/>
      <color theme="0"/>
      <name val="Calibri"/>
      <family val="2"/>
      <scheme val="major"/>
    </font>
    <font>
      <sz val="8"/>
      <color theme="0"/>
      <name val="Calibri"/>
      <family val="2"/>
      <scheme val="minor"/>
    </font>
    <font>
      <b/>
      <sz val="13.5"/>
      <color theme="0"/>
      <name val="Calibri"/>
      <family val="2"/>
      <scheme val="major"/>
    </font>
    <font>
      <sz val="9"/>
      <color theme="1"/>
      <name val="Calibri"/>
      <family val="2"/>
      <scheme val="minor"/>
    </font>
    <font>
      <sz val="9"/>
      <color theme="8"/>
      <name val="Calibri"/>
      <family val="2"/>
      <scheme val="minor"/>
    </font>
    <font>
      <sz val="8"/>
      <color theme="8"/>
      <name val="Calibri"/>
      <family val="2"/>
      <scheme val="minor"/>
    </font>
    <font>
      <sz val="9"/>
      <color theme="1" tint="0.14999847407452621"/>
      <name val="Calibri"/>
      <family val="2"/>
      <scheme val="minor"/>
    </font>
    <font>
      <b/>
      <sz val="8"/>
      <color theme="0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165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2" applyNumberFormat="0" applyFill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0" applyNumberFormat="0" applyBorder="0" applyAlignment="0" applyProtection="0"/>
    <xf numFmtId="0" fontId="19" fillId="4" borderId="0" applyNumberFormat="0" applyBorder="0" applyAlignment="0" applyProtection="0"/>
    <xf numFmtId="0" fontId="20" fillId="5" borderId="0" applyNumberFormat="0" applyBorder="0" applyAlignment="0" applyProtection="0"/>
    <xf numFmtId="0" fontId="21" fillId="6" borderId="5" applyNumberFormat="0" applyAlignment="0" applyProtection="0"/>
    <xf numFmtId="0" fontId="22" fillId="7" borderId="6" applyNumberFormat="0" applyAlignment="0" applyProtection="0"/>
    <xf numFmtId="0" fontId="23" fillId="7" borderId="5" applyNumberFormat="0" applyAlignment="0" applyProtection="0"/>
    <xf numFmtId="0" fontId="24" fillId="0" borderId="7" applyNumberFormat="0" applyFill="0" applyAlignment="0" applyProtection="0"/>
    <xf numFmtId="0" fontId="25" fillId="8" borderId="8" applyNumberFormat="0" applyAlignment="0" applyProtection="0"/>
    <xf numFmtId="0" fontId="26" fillId="0" borderId="0" applyNumberFormat="0" applyFill="0" applyBorder="0" applyAlignment="0" applyProtection="0"/>
    <xf numFmtId="0" fontId="13" fillId="9" borderId="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10" applyNumberFormat="0" applyFill="0" applyAlignment="0" applyProtection="0"/>
    <xf numFmtId="0" fontId="29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9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9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9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9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9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39">
    <xf numFmtId="0" fontId="0" fillId="0" borderId="0" xfId="0"/>
    <xf numFmtId="0" fontId="0" fillId="0" borderId="0" xfId="0" applyFont="1"/>
    <xf numFmtId="0" fontId="0" fillId="0" borderId="0" xfId="0" applyFont="1" applyFill="1" applyBorder="1"/>
    <xf numFmtId="0" fontId="3" fillId="0" borderId="0" xfId="0" applyFont="1" applyFill="1" applyBorder="1" applyAlignment="1"/>
    <xf numFmtId="0" fontId="4" fillId="0" borderId="0" xfId="0" applyFont="1" applyFill="1" applyBorder="1" applyAlignment="1"/>
    <xf numFmtId="0" fontId="0" fillId="2" borderId="0" xfId="0" applyFont="1" applyFill="1"/>
    <xf numFmtId="0" fontId="6" fillId="2" borderId="0" xfId="0" applyFont="1" applyFill="1"/>
    <xf numFmtId="0" fontId="0" fillId="2" borderId="0" xfId="0" applyFont="1" applyFill="1" applyBorder="1"/>
    <xf numFmtId="0" fontId="7" fillId="2" borderId="0" xfId="0" applyFont="1" applyFill="1" applyAlignment="1">
      <alignment vertical="center"/>
    </xf>
    <xf numFmtId="49" fontId="0" fillId="0" borderId="0" xfId="0" applyNumberFormat="1" applyFont="1"/>
    <xf numFmtId="49" fontId="9" fillId="0" borderId="0" xfId="0" applyNumberFormat="1" applyFont="1"/>
    <xf numFmtId="49" fontId="0" fillId="0" borderId="0" xfId="0" applyNumberFormat="1" applyFont="1" applyAlignment="1">
      <alignment horizontal="left"/>
    </xf>
    <xf numFmtId="49" fontId="10" fillId="0" borderId="0" xfId="0" applyNumberFormat="1" applyFont="1" applyFill="1" applyBorder="1" applyAlignment="1">
      <alignment horizontal="left"/>
    </xf>
    <xf numFmtId="49" fontId="10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left"/>
    </xf>
    <xf numFmtId="49" fontId="9" fillId="0" borderId="1" xfId="0" applyNumberFormat="1" applyFont="1" applyBorder="1"/>
    <xf numFmtId="49" fontId="11" fillId="0" borderId="0" xfId="0" applyNumberFormat="1" applyFont="1" applyAlignment="1">
      <alignment horizontal="left"/>
    </xf>
    <xf numFmtId="0" fontId="3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0" fillId="0" borderId="0" xfId="0" applyNumberFormat="1" applyFont="1"/>
    <xf numFmtId="0" fontId="8" fillId="0" borderId="0" xfId="0" applyNumberFormat="1" applyFont="1"/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168" fontId="0" fillId="0" borderId="0" xfId="0" applyNumberFormat="1" applyFont="1" applyFill="1" applyBorder="1" applyAlignment="1">
      <alignment horizontal="center"/>
    </xf>
    <xf numFmtId="0" fontId="0" fillId="2" borderId="0" xfId="0" applyNumberFormat="1" applyFont="1" applyFill="1" applyBorder="1"/>
    <xf numFmtId="0" fontId="5" fillId="2" borderId="0" xfId="0" applyFont="1" applyFill="1" applyBorder="1" applyAlignment="1">
      <alignment horizontal="left" vertical="center"/>
    </xf>
  </cellXfs>
  <cellStyles count="47">
    <cellStyle name="20% – колірна тема 1" xfId="24" builtinId="30" customBuiltin="1"/>
    <cellStyle name="20% – колірна тема 2" xfId="28" builtinId="34" customBuiltin="1"/>
    <cellStyle name="20% – колірна тема 3" xfId="32" builtinId="38" customBuiltin="1"/>
    <cellStyle name="20% – колірна тема 4" xfId="36" builtinId="42" customBuiltin="1"/>
    <cellStyle name="20% – колірна тема 5" xfId="40" builtinId="46" customBuiltin="1"/>
    <cellStyle name="20% – колірна тема 6" xfId="44" builtinId="50" customBuiltin="1"/>
    <cellStyle name="40% – колірна тема 1" xfId="25" builtinId="31" customBuiltin="1"/>
    <cellStyle name="40% – колірна тема 2" xfId="29" builtinId="35" customBuiltin="1"/>
    <cellStyle name="40% – колірна тема 3" xfId="33" builtinId="39" customBuiltin="1"/>
    <cellStyle name="40% – колірна тема 4" xfId="37" builtinId="43" customBuiltin="1"/>
    <cellStyle name="40% – колірна тема 5" xfId="41" builtinId="47" customBuiltin="1"/>
    <cellStyle name="40% – колірна тема 6" xfId="45" builtinId="51" customBuiltin="1"/>
    <cellStyle name="60% – колірна тема 1" xfId="26" builtinId="32" customBuiltin="1"/>
    <cellStyle name="60% – колірна тема 2" xfId="30" builtinId="36" customBuiltin="1"/>
    <cellStyle name="60% – колірна тема 3" xfId="34" builtinId="40" customBuiltin="1"/>
    <cellStyle name="60% – колірна тема 4" xfId="38" builtinId="44" customBuiltin="1"/>
    <cellStyle name="60% – колірна тема 5" xfId="42" builtinId="48" customBuiltin="1"/>
    <cellStyle name="60% – колірна тема 6" xfId="46" builtinId="52" customBuiltin="1"/>
    <cellStyle name="Ввід" xfId="14" builtinId="20" customBuiltin="1"/>
    <cellStyle name="Відсотковий" xfId="5" builtinId="5" customBuiltin="1"/>
    <cellStyle name="Гарний" xfId="11" builtinId="26" customBuiltin="1"/>
    <cellStyle name="Грошовий" xfId="3" builtinId="4" customBuiltin="1"/>
    <cellStyle name="Грошовий [0]" xfId="4" builtinId="7" customBuiltin="1"/>
    <cellStyle name="Заголовок 1" xfId="7" builtinId="16" customBuiltin="1"/>
    <cellStyle name="Заголовок 2" xfId="8" builtinId="17" customBuiltin="1"/>
    <cellStyle name="Заголовок 3" xfId="9" builtinId="18" customBuiltin="1"/>
    <cellStyle name="Заголовок 4" xfId="10" builtinId="19" customBuiltin="1"/>
    <cellStyle name="Звичайний" xfId="0" builtinId="0" customBuiltin="1"/>
    <cellStyle name="Зв'язана клітинка" xfId="17" builtinId="24" customBuiltin="1"/>
    <cellStyle name="Колірна тема 1" xfId="23" builtinId="29" customBuiltin="1"/>
    <cellStyle name="Колірна тема 2" xfId="27" builtinId="33" customBuiltin="1"/>
    <cellStyle name="Колірна тема 3" xfId="31" builtinId="37" customBuiltin="1"/>
    <cellStyle name="Колірна тема 4" xfId="35" builtinId="41" customBuiltin="1"/>
    <cellStyle name="Колірна тема 5" xfId="39" builtinId="45" customBuiltin="1"/>
    <cellStyle name="Колірна тема 6" xfId="43" builtinId="49" customBuiltin="1"/>
    <cellStyle name="Контрольна клітинка" xfId="18" builtinId="23" customBuiltin="1"/>
    <cellStyle name="Назва" xfId="6" builtinId="15" customBuiltin="1"/>
    <cellStyle name="Нейтральний" xfId="13" builtinId="28" customBuiltin="1"/>
    <cellStyle name="Обчислення" xfId="16" builtinId="22" customBuiltin="1"/>
    <cellStyle name="Підсумок" xfId="22" builtinId="25" customBuiltin="1"/>
    <cellStyle name="Поганий" xfId="12" builtinId="27" customBuiltin="1"/>
    <cellStyle name="Примітка" xfId="20" builtinId="10" customBuiltin="1"/>
    <cellStyle name="Результат" xfId="15" builtinId="21" customBuiltin="1"/>
    <cellStyle name="Текст попередження" xfId="19" builtinId="11" customBuiltin="1"/>
    <cellStyle name="Текст пояснення" xfId="21" builtinId="53" customBuiltin="1"/>
    <cellStyle name="Фінансовий" xfId="1" builtinId="3" customBuiltin="1"/>
    <cellStyle name="Фінансовий [0]" xfId="2" builtinId="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$C$1" max="2999" min="1900" page="10" val="2019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142875</xdr:colOff>
      <xdr:row>2</xdr:row>
      <xdr:rowOff>114299</xdr:rowOff>
    </xdr:from>
    <xdr:to>
      <xdr:col>22</xdr:col>
      <xdr:colOff>695325</xdr:colOff>
      <xdr:row>47</xdr:row>
      <xdr:rowOff>66674</xdr:rowOff>
    </xdr:to>
    <xdr:pic>
      <xdr:nvPicPr>
        <xdr:cNvPr id="2" name="Листя" descr="Шість листків, розміщених у правій частині календаря на різній відстані та під різними кутами." title="Зображення до календаря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581775" y="685799"/>
          <a:ext cx="1095375" cy="8524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0</xdr:row>
          <xdr:rowOff>38100</xdr:rowOff>
        </xdr:from>
        <xdr:to>
          <xdr:col>1</xdr:col>
          <xdr:colOff>266700</xdr:colOff>
          <xdr:row>0</xdr:row>
          <xdr:rowOff>342900</xdr:rowOff>
        </xdr:to>
        <xdr:sp macro="" textlink="">
          <xdr:nvSpPr>
            <xdr:cNvPr id="1033" name="Лічильник" descr="Натисніть кнопку лічильника, щоб змінити рік календаря, або введіть потрібне значення в клітинку B1.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</xdr:col>
      <xdr:colOff>38099</xdr:colOff>
      <xdr:row>1</xdr:row>
      <xdr:rowOff>9526</xdr:rowOff>
    </xdr:from>
    <xdr:to>
      <xdr:col>12</xdr:col>
      <xdr:colOff>152399</xdr:colOff>
      <xdr:row>2</xdr:row>
      <xdr:rowOff>66675</xdr:rowOff>
    </xdr:to>
    <xdr:sp macro="" textlink="">
      <xdr:nvSpPr>
        <xdr:cNvPr id="6" name="Указівки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80974" y="390526"/>
          <a:ext cx="3267075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bIns="0" rtlCol="0" anchor="t"/>
        <a:lstStyle/>
        <a:p>
          <a:pPr algn="l" rtl="0"/>
          <a:r>
            <a:rPr lang="uk" sz="1000" b="0" i="1">
              <a:solidFill>
                <a:schemeClr val="accent5"/>
              </a:solidFill>
              <a:latin typeface="Calibri" panose="020F0502020204030204" pitchFamily="34" charset="0"/>
            </a:rPr>
            <a:t>Щоб змінити рік календаря</a:t>
          </a:r>
          <a:r>
            <a:rPr lang="uk" sz="1000" b="0" i="1" baseline="0">
              <a:solidFill>
                <a:schemeClr val="accent5"/>
              </a:solidFill>
              <a:latin typeface="Calibri" panose="020F0502020204030204" pitchFamily="34" charset="0"/>
            </a:rPr>
            <a:t>, клацніть лічильник.</a:t>
          </a:r>
          <a:endParaRPr lang="en-US" sz="1000" b="0" i="1">
            <a:solidFill>
              <a:schemeClr val="accent5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oneCell">
    <xdr:from>
      <xdr:col>20</xdr:col>
      <xdr:colOff>47625</xdr:colOff>
      <xdr:row>50</xdr:row>
      <xdr:rowOff>152804</xdr:rowOff>
    </xdr:from>
    <xdr:to>
      <xdr:col>20</xdr:col>
      <xdr:colOff>1028700</xdr:colOff>
      <xdr:row>54</xdr:row>
      <xdr:rowOff>180569</xdr:rowOff>
    </xdr:to>
    <xdr:pic>
      <xdr:nvPicPr>
        <xdr:cNvPr id="3" name="Емблема" descr="Щоб змінити цю емблему, клацніть її правою кнопкою миші й виберіть “Змінити зображення”." title="Емблема компанії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9868304"/>
          <a:ext cx="981075" cy="789765"/>
        </a:xfrm>
        <a:prstGeom prst="rect">
          <a:avLst/>
        </a:prstGeom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vic">
  <a:themeElements>
    <a:clrScheme name="Small Business Calendar 2">
      <a:dk1>
        <a:sysClr val="windowText" lastClr="000000"/>
      </a:dk1>
      <a:lt1>
        <a:sysClr val="window" lastClr="FFFFFF"/>
      </a:lt1>
      <a:dk2>
        <a:srgbClr val="646B86"/>
      </a:dk2>
      <a:lt2>
        <a:srgbClr val="C5D1D7"/>
      </a:lt2>
      <a:accent1>
        <a:srgbClr val="D16349"/>
      </a:accent1>
      <a:accent2>
        <a:srgbClr val="CCB400"/>
      </a:accent2>
      <a:accent3>
        <a:srgbClr val="8CADAE"/>
      </a:accent3>
      <a:accent4>
        <a:srgbClr val="8C7B70"/>
      </a:accent4>
      <a:accent5>
        <a:srgbClr val="8FB08C"/>
      </a:accent5>
      <a:accent6>
        <a:srgbClr val="D19049"/>
      </a:accent6>
      <a:hlink>
        <a:srgbClr val="8FB08C"/>
      </a:hlink>
      <a:folHlink>
        <a:srgbClr val="694F07"/>
      </a:folHlink>
    </a:clrScheme>
    <a:fontScheme name="Custom 2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Civic">
      <a:fillStyleLst>
        <a:solidFill>
          <a:schemeClr val="phClr"/>
        </a:solidFill>
        <a:solidFill>
          <a:schemeClr val="phClr">
            <a:tint val="45000"/>
          </a:schemeClr>
        </a:solidFill>
        <a:solidFill>
          <a:schemeClr val="phClr">
            <a:tint val="95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1429" cap="flat" cmpd="sng" algn="ctr">
          <a:solidFill>
            <a:schemeClr val="phClr"/>
          </a:solidFill>
          <a:prstDash val="sysDash"/>
        </a:ln>
        <a:ln w="200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contourW="9525" prstMaterial="matte">
            <a:bevelT w="0" h="0"/>
            <a:contourClr>
              <a:schemeClr val="phClr">
                <a:shade val="70000"/>
                <a:satMod val="105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soft" dir="b">
              <a:rot lat="0" lon="0" rev="0"/>
            </a:lightRig>
          </a:scene3d>
          <a:sp3d prstMaterial="dkEdge">
            <a:bevelT w="63500" h="63500" prst="cross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70000"/>
                <a:satMod val="115000"/>
              </a:schemeClr>
              <a:schemeClr val="phClr">
                <a:tint val="85000"/>
              </a:schemeClr>
            </a:duotone>
          </a:blip>
          <a:tile tx="0" ty="0" sx="85000" sy="85000" flip="none" algn="tl"/>
        </a:blipFill>
        <a:blipFill>
          <a:blip xmlns:r="http://schemas.openxmlformats.org/officeDocument/2006/relationships" r:embed="rId2">
            <a:duotone>
              <a:schemeClr val="phClr">
                <a:shade val="65000"/>
                <a:satMod val="115000"/>
              </a:schemeClr>
              <a:schemeClr val="phClr">
                <a:tint val="85000"/>
              </a:schemeClr>
            </a:duotone>
          </a:blip>
          <a:tile tx="0" ty="0" sx="65000" sy="6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8"/>
    <pageSetUpPr fitToPage="1"/>
  </sheetPr>
  <dimension ref="A1:AP69"/>
  <sheetViews>
    <sheetView showGridLines="0" tabSelected="1" zoomScaleNormal="100" workbookViewId="0"/>
  </sheetViews>
  <sheetFormatPr defaultColWidth="9.5" defaultRowHeight="11.25" x14ac:dyDescent="0.2"/>
  <cols>
    <col min="1" max="1" width="2.5" style="1" customWidth="1"/>
    <col min="2" max="2" width="5.1640625" style="1" customWidth="1"/>
    <col min="3" max="17" width="5" style="1" customWidth="1"/>
    <col min="18" max="18" width="2.1640625" style="1" customWidth="1"/>
    <col min="19" max="19" width="1.1640625" style="1" customWidth="1"/>
    <col min="20" max="20" width="5.1640625" customWidth="1"/>
    <col min="21" max="21" width="42" style="1" customWidth="1"/>
    <col min="22" max="22" width="9.33203125" style="1" customWidth="1"/>
    <col min="23" max="23" width="13.5" style="1" customWidth="1"/>
    <col min="24" max="43" width="9.33203125" style="1" customWidth="1"/>
    <col min="44" max="44" width="9.5" style="1" customWidth="1"/>
    <col min="45" max="16384" width="9.5" style="1"/>
  </cols>
  <sheetData>
    <row r="1" spans="1:42" ht="30" customHeight="1" x14ac:dyDescent="0.2">
      <c r="B1" s="5"/>
      <c r="C1" s="38">
        <f ca="1">YEAR(TODAY())</f>
        <v>2019</v>
      </c>
      <c r="D1" s="38"/>
      <c r="E1" s="38"/>
      <c r="F1" s="38"/>
      <c r="G1" s="15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5"/>
      <c r="T1" s="14"/>
      <c r="U1" s="8" t="s">
        <v>17</v>
      </c>
      <c r="V1" s="5"/>
      <c r="W1" s="5"/>
      <c r="X1"/>
      <c r="Y1"/>
      <c r="Z1"/>
      <c r="AA1"/>
    </row>
    <row r="2" spans="1:42" ht="15" customHeight="1" x14ac:dyDescent="0.2"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5"/>
    </row>
    <row r="3" spans="1:42" ht="15" customHeight="1" x14ac:dyDescent="0.25">
      <c r="B3" s="2"/>
      <c r="C3" s="16" t="s">
        <v>0</v>
      </c>
      <c r="D3" s="3"/>
      <c r="E3" s="3"/>
      <c r="F3" s="3"/>
      <c r="G3" s="3"/>
      <c r="H3" s="3"/>
      <c r="I3" s="3"/>
      <c r="J3" s="19"/>
      <c r="K3" s="4" t="s">
        <v>11</v>
      </c>
      <c r="L3" s="3"/>
      <c r="M3" s="3"/>
      <c r="N3" s="3"/>
      <c r="O3" s="3"/>
      <c r="P3" s="3"/>
      <c r="Q3" s="3"/>
      <c r="R3" s="2"/>
      <c r="S3" s="7"/>
      <c r="U3" s="12" t="s">
        <v>18</v>
      </c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5" customHeight="1" x14ac:dyDescent="0.2">
      <c r="B4" s="2"/>
      <c r="C4" s="24" t="s">
        <v>1</v>
      </c>
      <c r="D4" s="24" t="s">
        <v>7</v>
      </c>
      <c r="E4" s="24" t="s">
        <v>9</v>
      </c>
      <c r="F4" s="24" t="s">
        <v>8</v>
      </c>
      <c r="G4" s="24" t="s">
        <v>1</v>
      </c>
      <c r="H4" s="24" t="s">
        <v>9</v>
      </c>
      <c r="I4" s="24" t="s">
        <v>10</v>
      </c>
      <c r="J4" s="20"/>
      <c r="K4" s="25" t="s">
        <v>1</v>
      </c>
      <c r="L4" s="25" t="s">
        <v>7</v>
      </c>
      <c r="M4" s="25" t="s">
        <v>9</v>
      </c>
      <c r="N4" s="25" t="s">
        <v>8</v>
      </c>
      <c r="O4" s="25" t="s">
        <v>1</v>
      </c>
      <c r="P4" s="25" t="s">
        <v>9</v>
      </c>
      <c r="Q4" s="25" t="s">
        <v>10</v>
      </c>
      <c r="R4" s="2"/>
      <c r="S4" s="5"/>
      <c r="U4" s="18" t="s">
        <v>19</v>
      </c>
      <c r="Z4" s="2"/>
      <c r="AH4" s="2"/>
      <c r="AP4" s="2"/>
    </row>
    <row r="5" spans="1:42" ht="15" customHeight="1" x14ac:dyDescent="0.2">
      <c r="B5" s="2"/>
      <c r="C5" s="36" t="str">
        <f ca="1">IF(DAY(СічНд1)=1,"",IF(AND(YEAR(СічНд1+1)=КалендарРік,MONTH(СічНд1+1)=1),СічНд1+1,""))</f>
        <v/>
      </c>
      <c r="D5" s="36">
        <f ca="1">IF(DAY(СічНд1)=1,"",IF(AND(YEAR(СічНд1+2)=КалендарРік,MONTH(СічНд1+2)=1),СічНд1+2,""))</f>
        <v>43466</v>
      </c>
      <c r="E5" s="36">
        <f ca="1">IF(DAY(СічНд1)=1,"",IF(AND(YEAR(СічНд1+3)=КалендарРік,MONTH(СічНд1+3)=1),СічНд1+3,""))</f>
        <v>43467</v>
      </c>
      <c r="F5" s="36">
        <f ca="1">IF(DAY(СічНд1)=1,"",IF(AND(YEAR(СічНд1+4)=КалендарРік,MONTH(СічНд1+4)=1),СічНд1+4,""))</f>
        <v>43468</v>
      </c>
      <c r="G5" s="36">
        <f ca="1">IF(DAY(СічНд1)=1,"",IF(AND(YEAR(СічНд1+5)=КалендарРік,MONTH(СічНд1+5)=1),СічНд1+5,""))</f>
        <v>43469</v>
      </c>
      <c r="H5" s="36">
        <f ca="1">IF(DAY(СічНд1)=1,"",IF(AND(YEAR(СічНд1+6)=КалендарРік,MONTH(СічНд1+6)=1),СічНд1+6,""))</f>
        <v>43470</v>
      </c>
      <c r="I5" s="36">
        <f ca="1">IF(DAY(СічНд1)=1,IF(AND(YEAR(СічНд1)=КалендарРік,MONTH(СічНд1)=1),СічНд1,""),IF(AND(YEAR(СічНд1+7)=КалендарРік,MONTH(СічНд1+7)=1),СічНд1+7,""))</f>
        <v>43471</v>
      </c>
      <c r="J5" s="20"/>
      <c r="K5" s="36" t="str">
        <f ca="1">IF(DAY(ЛютНд1)=1,"",IF(AND(YEAR(ЛютНд1+1)=КалендарРік,MONTH(ЛютНд1+1)=2),ЛютНд1+1,""))</f>
        <v/>
      </c>
      <c r="L5" s="36" t="str">
        <f ca="1">IF(DAY(ЛютНд1)=1,"",IF(AND(YEAR(ЛютНд1+2)=КалендарРік,MONTH(ЛютНд1+2)=2),ЛютНд1+2,""))</f>
        <v/>
      </c>
      <c r="M5" s="36" t="str">
        <f ca="1">IF(DAY(ЛютНд1)=1,"",IF(AND(YEAR(ЛютНд1+3)=КалендарРік,MONTH(ЛютНд1+3)=2),ЛютНд1+3,""))</f>
        <v/>
      </c>
      <c r="N5" s="36" t="str">
        <f ca="1">IF(DAY(ЛютНд1)=1,"",IF(AND(YEAR(ЛютНд1+4)=КалендарРік,MONTH(ЛютНд1+4)=2),ЛютНд1+4,""))</f>
        <v/>
      </c>
      <c r="O5" s="36">
        <f ca="1">IF(DAY(ЛютНд1)=1,"",IF(AND(YEAR(ЛютНд1+5)=КалендарРік,MONTH(ЛютНд1+5)=2),ЛютНд1+5,""))</f>
        <v>43497</v>
      </c>
      <c r="P5" s="36">
        <f ca="1">IF(DAY(ЛютНд1)=1,"",IF(AND(YEAR(ЛютНд1+6)=КалендарРік,MONTH(ЛютНд1+6)=2),ЛютНд1+6,""))</f>
        <v>43498</v>
      </c>
      <c r="Q5" s="36">
        <f ca="1">IF(DAY(ЛютНд1)=1,IF(AND(YEAR(ЛютНд1)=КалендарРік,MONTH(ЛютНд1)=2),ЛютНд1,""),IF(AND(YEAR(ЛютНд1+7)=КалендарРік,MONTH(ЛютНд1+7)=2),ЛютНд1+7,""))</f>
        <v>43499</v>
      </c>
      <c r="R5" s="2"/>
      <c r="S5" s="5"/>
      <c r="U5" s="11"/>
      <c r="Z5" s="2"/>
      <c r="AH5" s="2"/>
      <c r="AP5" s="2"/>
    </row>
    <row r="6" spans="1:42" ht="15" customHeight="1" x14ac:dyDescent="0.2">
      <c r="B6" s="2"/>
      <c r="C6" s="36">
        <f ca="1">IF(DAY(СічНд1)=1,IF(AND(YEAR(СічНд1+1)=КалендарРік,MONTH(СічНд1+1)=1),СічНд1+1,""),IF(AND(YEAR(СічНд1+8)=КалендарРік,MONTH(СічНд1+8)=1),СічНд1+8,""))</f>
        <v>43472</v>
      </c>
      <c r="D6" s="36">
        <f ca="1">IF(DAY(СічНд1)=1,IF(AND(YEAR(СічНд1+2)=КалендарРік,MONTH(СічНд1+2)=1),СічНд1+2,""),IF(AND(YEAR(СічНд1+9)=КалендарРік,MONTH(СічНд1+9)=1),СічНд1+9,""))</f>
        <v>43473</v>
      </c>
      <c r="E6" s="36">
        <f ca="1">IF(DAY(СічНд1)=1,IF(AND(YEAR(СічНд1+3)=КалендарРік,MONTH(СічНд1+3)=1),СічНд1+3,""),IF(AND(YEAR(СічНд1+10)=КалендарРік,MONTH(СічНд1+10)=1),СічНд1+10,""))</f>
        <v>43474</v>
      </c>
      <c r="F6" s="36">
        <f ca="1">IF(DAY(СічНд1)=1,IF(AND(YEAR(СічНд1+4)=КалендарРік,MONTH(СічНд1+4)=1),СічНд1+4,""),IF(AND(YEAR(СічНд1+11)=КалендарРік,MONTH(СічНд1+11)=1),СічНд1+11,""))</f>
        <v>43475</v>
      </c>
      <c r="G6" s="36">
        <f ca="1">IF(DAY(СічНд1)=1,IF(AND(YEAR(СічНд1+5)=КалендарРік,MONTH(СічНд1+5)=1),СічНд1+5,""),IF(AND(YEAR(СічНд1+12)=КалендарРік,MONTH(СічНд1+12)=1),СічНд1+12,""))</f>
        <v>43476</v>
      </c>
      <c r="H6" s="36">
        <f ca="1">IF(DAY(СічНд1)=1,IF(AND(YEAR(СічНд1+6)=КалендарРік,MONTH(СічНд1+6)=1),СічНд1+6,""),IF(AND(YEAR(СічНд1+13)=КалендарРік,MONTH(СічНд1+13)=1),СічНд1+13,""))</f>
        <v>43477</v>
      </c>
      <c r="I6" s="36">
        <f ca="1">IF(DAY(СічНд1)=1,IF(AND(YEAR(СічНд1+7)=КалендарРік,MONTH(СічНд1+7)=1),СічНд1+7,""),IF(AND(YEAR(СічНд1+14)=КалендарРік,MONTH(СічНд1+14)=1),СічНд1+14,""))</f>
        <v>43478</v>
      </c>
      <c r="J6" s="20"/>
      <c r="K6" s="36">
        <f ca="1">IF(DAY(ЛютНд1)=1,IF(AND(YEAR(ЛютНд1+1)=КалендарРік,MONTH(ЛютНд1+1)=2),ЛютНд1+1,""),IF(AND(YEAR(ЛютНд1+8)=КалендарРік,MONTH(ЛютНд1+8)=2),ЛютНд1+8,""))</f>
        <v>43500</v>
      </c>
      <c r="L6" s="36">
        <f ca="1">IF(DAY(ЛютНд1)=1,IF(AND(YEAR(ЛютНд1+2)=КалендарРік,MONTH(ЛютНд1+2)=2),ЛютНд1+2,""),IF(AND(YEAR(ЛютНд1+9)=КалендарРік,MONTH(ЛютНд1+9)=2),ЛютНд1+9,""))</f>
        <v>43501</v>
      </c>
      <c r="M6" s="36">
        <f ca="1">IF(DAY(ЛютНд1)=1,IF(AND(YEAR(ЛютНд1+3)=КалендарРік,MONTH(ЛютНд1+3)=2),ЛютНд1+3,""),IF(AND(YEAR(ЛютНд1+10)=КалендарРік,MONTH(ЛютНд1+10)=2),ЛютНд1+10,""))</f>
        <v>43502</v>
      </c>
      <c r="N6" s="36">
        <f ca="1">IF(DAY(ЛютНд1)=1,IF(AND(YEAR(ЛютНд1+4)=КалендарРік,MONTH(ЛютНд1+4)=2),ЛютНд1+4,""),IF(AND(YEAR(ЛютНд1+11)=КалендарРік,MONTH(ЛютНд1+11)=2),ЛютНд1+11,""))</f>
        <v>43503</v>
      </c>
      <c r="O6" s="36">
        <f ca="1">IF(DAY(ЛютНд1)=1,IF(AND(YEAR(ЛютНд1+5)=КалендарРік,MONTH(ЛютНд1+5)=2),ЛютНд1+5,""),IF(AND(YEAR(ЛютНд1+12)=КалендарРік,MONTH(ЛютНд1+12)=2),ЛютНд1+12,""))</f>
        <v>43504</v>
      </c>
      <c r="P6" s="36">
        <f ca="1">IF(DAY(ЛютНд1)=1,IF(AND(YEAR(ЛютНд1+6)=КалендарРік,MONTH(ЛютНд1+6)=2),ЛютНд1+6,""),IF(AND(YEAR(ЛютНд1+13)=КалендарРік,MONTH(ЛютНд1+13)=2),ЛютНд1+13,""))</f>
        <v>43505</v>
      </c>
      <c r="Q6" s="36">
        <f ca="1">IF(DAY(ЛютНд1)=1,IF(AND(YEAR(ЛютНд1+7)=КалендарРік,MONTH(ЛютНд1+7)=2),ЛютНд1+7,""),IF(AND(YEAR(ЛютНд1+14)=КалендарРік,MONTH(ЛютНд1+14)=2),ЛютНд1+14,""))</f>
        <v>43506</v>
      </c>
      <c r="R6" s="2"/>
      <c r="S6" s="5"/>
      <c r="U6" s="13" t="s">
        <v>20</v>
      </c>
      <c r="Z6" s="2"/>
      <c r="AH6" s="2"/>
      <c r="AP6" s="2"/>
    </row>
    <row r="7" spans="1:42" ht="15" customHeight="1" x14ac:dyDescent="0.2">
      <c r="B7" s="2"/>
      <c r="C7" s="36">
        <f ca="1">IF(DAY(СічНд1)=1,IF(AND(YEAR(СічНд1+8)=КалендарРік,MONTH(СічНд1+8)=1),СічНд1+8,""),IF(AND(YEAR(СічНд1+15)=КалендарРік,MONTH(СічНд1+15)=1),СічНд1+15,""))</f>
        <v>43479</v>
      </c>
      <c r="D7" s="36">
        <f ca="1">IF(DAY(СічНд1)=1,IF(AND(YEAR(СічНд1+9)=КалендарРік,MONTH(СічНд1+9)=1),СічНд1+9,""),IF(AND(YEAR(СічНд1+16)=КалендарРік,MONTH(СічНд1+16)=1),СічНд1+16,""))</f>
        <v>43480</v>
      </c>
      <c r="E7" s="36">
        <f ca="1">IF(DAY(СічНд1)=1,IF(AND(YEAR(СічНд1+10)=КалендарРік,MONTH(СічНд1+10)=1),СічНд1+10,""),IF(AND(YEAR(СічНд1+17)=КалендарРік,MONTH(СічНд1+17)=1),СічНд1+17,""))</f>
        <v>43481</v>
      </c>
      <c r="F7" s="36">
        <f ca="1">IF(DAY(СічНд1)=1,IF(AND(YEAR(СічНд1+11)=КалендарРік,MONTH(СічНд1+11)=1),СічНд1+11,""),IF(AND(YEAR(СічНд1+18)=КалендарРік,MONTH(СічНд1+18)=1),СічНд1+18,""))</f>
        <v>43482</v>
      </c>
      <c r="G7" s="36">
        <f ca="1">IF(DAY(СічНд1)=1,IF(AND(YEAR(СічНд1+12)=КалендарРік,MONTH(СічНд1+12)=1),СічНд1+12,""),IF(AND(YEAR(СічНд1+19)=КалендарРік,MONTH(СічНд1+19)=1),СічНд1+19,""))</f>
        <v>43483</v>
      </c>
      <c r="H7" s="36">
        <f ca="1">IF(DAY(СічНд1)=1,IF(AND(YEAR(СічНд1+13)=КалендарРік,MONTH(СічНд1+13)=1),СічНд1+13,""),IF(AND(YEAR(СічНд1+20)=КалендарРік,MONTH(СічНд1+20)=1),СічНд1+20,""))</f>
        <v>43484</v>
      </c>
      <c r="I7" s="36">
        <f ca="1">IF(DAY(СічНд1)=1,IF(AND(YEAR(СічНд1+14)=КалендарРік,MONTH(СічНд1+14)=1),СічНд1+14,""),IF(AND(YEAR(СічНд1+21)=КалендарРік,MONTH(СічНд1+21)=1),СічНд1+21,""))</f>
        <v>43485</v>
      </c>
      <c r="J7" s="20"/>
      <c r="K7" s="36">
        <f ca="1">IF(DAY(ЛютНд1)=1,IF(AND(YEAR(ЛютНд1+8)=КалендарРік,MONTH(ЛютНд1+8)=2),ЛютНд1+8,""),IF(AND(YEAR(ЛютНд1+15)=КалендарРік,MONTH(ЛютНд1+15)=2),ЛютНд1+15,""))</f>
        <v>43507</v>
      </c>
      <c r="L7" s="36">
        <f ca="1">IF(DAY(ЛютНд1)=1,IF(AND(YEAR(ЛютНд1+9)=КалендарРік,MONTH(ЛютНд1+9)=2),ЛютНд1+9,""),IF(AND(YEAR(ЛютНд1+16)=КалендарРік,MONTH(ЛютНд1+16)=2),ЛютНд1+16,""))</f>
        <v>43508</v>
      </c>
      <c r="M7" s="36">
        <f ca="1">IF(DAY(ЛютНд1)=1,IF(AND(YEAR(ЛютНд1+10)=КалендарРік,MONTH(ЛютНд1+10)=2),ЛютНд1+10,""),IF(AND(YEAR(ЛютНд1+17)=КалендарРік,MONTH(ЛютНд1+17)=2),ЛютНд1+17,""))</f>
        <v>43509</v>
      </c>
      <c r="N7" s="36">
        <f ca="1">IF(DAY(ЛютНд1)=1,IF(AND(YEAR(ЛютНд1+11)=КалендарРік,MONTH(ЛютНд1+11)=2),ЛютНд1+11,""),IF(AND(YEAR(ЛютНд1+18)=КалендарРік,MONTH(ЛютНд1+18)=2),ЛютНд1+18,""))</f>
        <v>43510</v>
      </c>
      <c r="O7" s="36">
        <f ca="1">IF(DAY(ЛютНд1)=1,IF(AND(YEAR(ЛютНд1+12)=КалендарРік,MONTH(ЛютНд1+12)=2),ЛютНд1+12,""),IF(AND(YEAR(ЛютНд1+19)=КалендарРік,MONTH(ЛютНд1+19)=2),ЛютНд1+19,""))</f>
        <v>43511</v>
      </c>
      <c r="P7" s="36">
        <f ca="1">IF(DAY(ЛютНд1)=1,IF(AND(YEAR(ЛютНд1+13)=КалендарРік,MONTH(ЛютНд1+13)=2),ЛютНд1+13,""),IF(AND(YEAR(ЛютНд1+20)=КалендарРік,MONTH(ЛютНд1+20)=2),ЛютНд1+20,""))</f>
        <v>43512</v>
      </c>
      <c r="Q7" s="36">
        <f ca="1">IF(DAY(ЛютНд1)=1,IF(AND(YEAR(ЛютНд1+14)=КалендарРік,MONTH(ЛютНд1+14)=2),ЛютНд1+14,""),IF(AND(YEAR(ЛютНд1+21)=КалендарРік,MONTH(ЛютНд1+21)=2),ЛютНд1+21,""))</f>
        <v>43513</v>
      </c>
      <c r="R7" s="2"/>
      <c r="S7" s="5"/>
      <c r="U7" s="18" t="s">
        <v>21</v>
      </c>
      <c r="Z7" s="2"/>
      <c r="AH7" s="2"/>
      <c r="AP7" s="2"/>
    </row>
    <row r="8" spans="1:42" ht="15" customHeight="1" x14ac:dyDescent="0.2">
      <c r="B8" s="2"/>
      <c r="C8" s="36">
        <f ca="1">IF(DAY(СічНд1)=1,IF(AND(YEAR(СічНд1+15)=КалендарРік,MONTH(СічНд1+15)=1),СічНд1+15,""),IF(AND(YEAR(СічНд1+22)=КалендарРік,MONTH(СічНд1+22)=1),СічНд1+22,""))</f>
        <v>43486</v>
      </c>
      <c r="D8" s="36">
        <f ca="1">IF(DAY(СічНд1)=1,IF(AND(YEAR(СічНд1+16)=КалендарРік,MONTH(СічНд1+16)=1),СічНд1+16,""),IF(AND(YEAR(СічНд1+23)=КалендарРік,MONTH(СічНд1+23)=1),СічНд1+23,""))</f>
        <v>43487</v>
      </c>
      <c r="E8" s="36">
        <f ca="1">IF(DAY(СічНд1)=1,IF(AND(YEAR(СічНд1+17)=КалендарРік,MONTH(СічНд1+17)=1),СічНд1+17,""),IF(AND(YEAR(СічНд1+24)=КалендарРік,MONTH(СічНд1+24)=1),СічНд1+24,""))</f>
        <v>43488</v>
      </c>
      <c r="F8" s="36">
        <f ca="1">IF(DAY(СічНд1)=1,IF(AND(YEAR(СічНд1+18)=КалендарРік,MONTH(СічНд1+18)=1),СічНд1+18,""),IF(AND(YEAR(СічНд1+25)=КалендарРік,MONTH(СічНд1+25)=1),СічНд1+25,""))</f>
        <v>43489</v>
      </c>
      <c r="G8" s="36">
        <f ca="1">IF(DAY(СічНд1)=1,IF(AND(YEAR(СічНд1+19)=КалендарРік,MONTH(СічНд1+19)=1),СічНд1+19,""),IF(AND(YEAR(СічНд1+26)=КалендарРік,MONTH(СічНд1+26)=1),СічНд1+26,""))</f>
        <v>43490</v>
      </c>
      <c r="H8" s="36">
        <f ca="1">IF(DAY(СічНд1)=1,IF(AND(YEAR(СічНд1+20)=КалендарРік,MONTH(СічНд1+20)=1),СічНд1+20,""),IF(AND(YEAR(СічНд1+27)=КалендарРік,MONTH(СічНд1+27)=1),СічНд1+27,""))</f>
        <v>43491</v>
      </c>
      <c r="I8" s="36">
        <f ca="1">IF(DAY(СічНд1)=1,IF(AND(YEAR(СічНд1+21)=КалендарРік,MONTH(СічНд1+21)=1),СічНд1+21,""),IF(AND(YEAR(СічНд1+28)=КалендарРік,MONTH(СічНд1+28)=1),СічНд1+28,""))</f>
        <v>43492</v>
      </c>
      <c r="J8" s="20"/>
      <c r="K8" s="36">
        <f ca="1">IF(DAY(ЛютНд1)=1,IF(AND(YEAR(ЛютНд1+15)=КалендарРік,MONTH(ЛютНд1+15)=2),ЛютНд1+15,""),IF(AND(YEAR(ЛютНд1+22)=КалендарРік,MONTH(ЛютНд1+22)=2),ЛютНд1+22,""))</f>
        <v>43514</v>
      </c>
      <c r="L8" s="36">
        <f ca="1">IF(DAY(ЛютНд1)=1,IF(AND(YEAR(ЛютНд1+16)=КалендарРік,MONTH(ЛютНд1+16)=2),ЛютНд1+16,""),IF(AND(YEAR(ЛютНд1+23)=КалендарРік,MONTH(ЛютНд1+23)=2),ЛютНд1+23,""))</f>
        <v>43515</v>
      </c>
      <c r="M8" s="36">
        <f ca="1">IF(DAY(ЛютНд1)=1,IF(AND(YEAR(ЛютНд1+17)=КалендарРік,MONTH(ЛютНд1+17)=2),ЛютНд1+17,""),IF(AND(YEAR(ЛютНд1+24)=КалендарРік,MONTH(ЛютНд1+24)=2),ЛютНд1+24,""))</f>
        <v>43516</v>
      </c>
      <c r="N8" s="36">
        <f ca="1">IF(DAY(ЛютНд1)=1,IF(AND(YEAR(ЛютНд1+18)=КалендарРік,MONTH(ЛютНд1+18)=2),ЛютНд1+18,""),IF(AND(YEAR(ЛютНд1+25)=КалендарРік,MONTH(ЛютНд1+25)=2),ЛютНд1+25,""))</f>
        <v>43517</v>
      </c>
      <c r="O8" s="36">
        <f ca="1">IF(DAY(ЛютНд1)=1,IF(AND(YEAR(ЛютНд1+19)=КалендарРік,MONTH(ЛютНд1+19)=2),ЛютНд1+19,""),IF(AND(YEAR(ЛютНд1+26)=КалендарРік,MONTH(ЛютНд1+26)=2),ЛютНд1+26,""))</f>
        <v>43518</v>
      </c>
      <c r="P8" s="36">
        <f ca="1">IF(DAY(ЛютНд1)=1,IF(AND(YEAR(ЛютНд1+20)=КалендарРік,MONTH(ЛютНд1+20)=2),ЛютНд1+20,""),IF(AND(YEAR(ЛютНд1+27)=КалендарРік,MONTH(ЛютНд1+27)=2),ЛютНд1+27,""))</f>
        <v>43519</v>
      </c>
      <c r="Q8" s="36">
        <f ca="1">IF(DAY(ЛютНд1)=1,IF(AND(YEAR(ЛютНд1+21)=КалендарРік,MONTH(ЛютНд1+21)=2),ЛютНд1+21,""),IF(AND(YEAR(ЛютНд1+28)=КалендарРік,MONTH(ЛютНд1+28)=2),ЛютНд1+28,""))</f>
        <v>43520</v>
      </c>
      <c r="R8" s="2"/>
      <c r="S8" s="5"/>
      <c r="U8" s="11"/>
      <c r="Z8" s="2"/>
      <c r="AH8" s="2"/>
      <c r="AP8" s="2"/>
    </row>
    <row r="9" spans="1:42" ht="15" customHeight="1" x14ac:dyDescent="0.2">
      <c r="B9" s="2"/>
      <c r="C9" s="36">
        <f ca="1">IF(DAY(СічНд1)=1,IF(AND(YEAR(СічНд1+22)=КалендарРік,MONTH(СічНд1+22)=1),СічНд1+22,""),IF(AND(YEAR(СічНд1+29)=КалендарРік,MONTH(СічНд1+29)=1),СічНд1+29,""))</f>
        <v>43493</v>
      </c>
      <c r="D9" s="36">
        <f ca="1">IF(DAY(СічНд1)=1,IF(AND(YEAR(СічНд1+23)=КалендарРік,MONTH(СічНд1+23)=1),СічНд1+23,""),IF(AND(YEAR(СічНд1+30)=КалендарРік,MONTH(СічНд1+30)=1),СічНд1+30,""))</f>
        <v>43494</v>
      </c>
      <c r="E9" s="36">
        <f ca="1">IF(DAY(СічНд1)=1,IF(AND(YEAR(СічНд1+24)=КалендарРік,MONTH(СічНд1+24)=1),СічНд1+24,""),IF(AND(YEAR(СічНд1+31)=КалендарРік,MONTH(СічНд1+31)=1),СічНд1+31,""))</f>
        <v>43495</v>
      </c>
      <c r="F9" s="36">
        <f ca="1">IF(DAY(СічНд1)=1,IF(AND(YEAR(СічНд1+25)=КалендарРік,MONTH(СічНд1+25)=1),СічНд1+25,""),IF(AND(YEAR(СічНд1+32)=КалендарРік,MONTH(СічНд1+32)=1),СічНд1+32,""))</f>
        <v>43496</v>
      </c>
      <c r="G9" s="36" t="str">
        <f ca="1">IF(DAY(СічНд1)=1,IF(AND(YEAR(СічНд1+26)=КалендарРік,MONTH(СічНд1+26)=1),СічНд1+26,""),IF(AND(YEAR(СічНд1+33)=КалендарРік,MONTH(СічНд1+33)=1),СічНд1+33,""))</f>
        <v/>
      </c>
      <c r="H9" s="36" t="str">
        <f ca="1">IF(DAY(СічНд1)=1,IF(AND(YEAR(СічНд1+27)=КалендарРік,MONTH(СічНд1+27)=1),СічНд1+27,""),IF(AND(YEAR(СічНд1+34)=КалендарРік,MONTH(СічНд1+34)=1),СічНд1+34,""))</f>
        <v/>
      </c>
      <c r="I9" s="36" t="str">
        <f ca="1">IF(DAY(СічНд1)=1,IF(AND(YEAR(СічНд1+28)=КалендарРік,MONTH(СічНд1+28)=1),СічНд1+28,""),IF(AND(YEAR(СічНд1+35)=КалендарРік,MONTH(СічНд1+35)=1),СічНд1+35,""))</f>
        <v/>
      </c>
      <c r="J9" s="20"/>
      <c r="K9" s="36">
        <f ca="1">IF(DAY(ЛютНд1)=1,IF(AND(YEAR(ЛютНд1+22)=КалендарРік,MONTH(ЛютНд1+22)=2),ЛютНд1+22,""),IF(AND(YEAR(ЛютНд1+29)=КалендарРік,MONTH(ЛютНд1+29)=2),ЛютНд1+29,""))</f>
        <v>43521</v>
      </c>
      <c r="L9" s="36">
        <f ca="1">IF(DAY(ЛютНд1)=1,IF(AND(YEAR(ЛютНд1+23)=КалендарРік,MONTH(ЛютНд1+23)=2),ЛютНд1+23,""),IF(AND(YEAR(ЛютНд1+30)=КалендарРік,MONTH(ЛютНд1+30)=2),ЛютНд1+30,""))</f>
        <v>43522</v>
      </c>
      <c r="M9" s="36">
        <f ca="1">IF(DAY(ЛютНд1)=1,IF(AND(YEAR(ЛютНд1+24)=КалендарРік,MONTH(ЛютНд1+24)=2),ЛютНд1+24,""),IF(AND(YEAR(ЛютНд1+31)=КалендарРік,MONTH(ЛютНд1+31)=2),ЛютНд1+31,""))</f>
        <v>43523</v>
      </c>
      <c r="N9" s="36">
        <f ca="1">IF(DAY(ЛютНд1)=1,IF(AND(YEAR(ЛютНд1+25)=КалендарРік,MONTH(ЛютНд1+25)=2),ЛютНд1+25,""),IF(AND(YEAR(ЛютНд1+32)=КалендарРік,MONTH(ЛютНд1+32)=2),ЛютНд1+32,""))</f>
        <v>43524</v>
      </c>
      <c r="O9" s="36" t="str">
        <f ca="1">IF(DAY(ЛютНд1)=1,IF(AND(YEAR(ЛютНд1+26)=КалендарРік,MONTH(ЛютНд1+26)=2),ЛютНд1+26,""),IF(AND(YEAR(ЛютНд1+33)=КалендарРік,MONTH(ЛютНд1+33)=2),ЛютНд1+33,""))</f>
        <v/>
      </c>
      <c r="P9" s="36" t="str">
        <f ca="1">IF(DAY(ЛютНд1)=1,IF(AND(YEAR(ЛютНд1+27)=КалендарРік,MONTH(ЛютНд1+27)=2),ЛютНд1+27,""),IF(AND(YEAR(ЛютНд1+34)=КалендарРік,MONTH(ЛютНд1+34)=2),ЛютНд1+34,""))</f>
        <v/>
      </c>
      <c r="Q9" s="36" t="str">
        <f ca="1">IF(DAY(ЛютНд1)=1,IF(AND(YEAR(ЛютНд1+28)=КалендарРік,MONTH(ЛютНд1+28)=2),ЛютНд1+28,""),IF(AND(YEAR(ЛютНд1+35)=КалендарРік,MONTH(ЛютНд1+35)=2),ЛютНд1+35,""))</f>
        <v/>
      </c>
      <c r="R9" s="2"/>
      <c r="S9" s="5"/>
      <c r="U9" s="12" t="s">
        <v>22</v>
      </c>
      <c r="Z9" s="2"/>
      <c r="AH9" s="2"/>
      <c r="AP9" s="2"/>
    </row>
    <row r="10" spans="1:42" ht="15" customHeight="1" x14ac:dyDescent="0.2">
      <c r="B10" s="2"/>
      <c r="C10" s="36" t="str">
        <f ca="1">IF(DAY(СічНд1)=1,IF(AND(YEAR(СічНд1+29)=КалендарРік,MONTH(СічНд1+29)=1),СічНд1+29,""),IF(AND(YEAR(СічНд1+36)=КалендарРік,MONTH(СічНд1+36)=1),СічНд1+36,""))</f>
        <v/>
      </c>
      <c r="D10" s="36" t="str">
        <f ca="1">IF(DAY(СічНд1)=1,IF(AND(YEAR(СічНд1+30)=КалендарРік,MONTH(СічНд1+30)=1),СічНд1+30,""),IF(AND(YEAR(СічНд1+37)=КалендарРік,MONTH(СічНд1+37)=1),СічНд1+37,""))</f>
        <v/>
      </c>
      <c r="E10" s="36" t="str">
        <f ca="1">IF(DAY(СічНд1)=1,IF(AND(YEAR(СічНд1+31)=КалендарРік,MONTH(СічНд1+31)=1),СічНд1+31,""),IF(AND(YEAR(СічНд1+38)=КалендарРік,MONTH(СічНд1+38)=1),СічНд1+38,""))</f>
        <v/>
      </c>
      <c r="F10" s="36" t="str">
        <f ca="1">IF(DAY(СічНд1)=1,IF(AND(YEAR(СічНд1+32)=КалендарРік,MONTH(СічНд1+32)=1),СічНд1+32,""),IF(AND(YEAR(СічНд1+39)=КалендарРік,MONTH(СічНд1+39)=1),СічНд1+39,""))</f>
        <v/>
      </c>
      <c r="G10" s="36" t="str">
        <f ca="1">IF(DAY(СічНд1)=1,IF(AND(YEAR(СічНд1+33)=КалендарРік,MONTH(СічНд1+33)=1),СічНд1+33,""),IF(AND(YEAR(СічНд1+40)=КалендарРік,MONTH(СічНд1+40)=1),СічНд1+40,""))</f>
        <v/>
      </c>
      <c r="H10" s="36" t="str">
        <f ca="1">IF(DAY(СічНд1)=1,IF(AND(YEAR(СічНд1+34)=КалендарРік,MONTH(СічНд1+34)=1),СічНд1+34,""),IF(AND(YEAR(СічНд1+41)=КалендарРік,MONTH(СічНд1+41)=1),СічНд1+41,""))</f>
        <v/>
      </c>
      <c r="I10" s="36" t="str">
        <f ca="1">IF(DAY(СічНд1)=1,IF(AND(YEAR(СічНд1+35)=КалендарРік,MONTH(СічНд1+35)=1),СічНд1+35,""),IF(AND(YEAR(СічНд1+42)=КалендарРік,MONTH(СічНд1+42)=1),СічНд1+42,""))</f>
        <v/>
      </c>
      <c r="J10" s="20"/>
      <c r="K10" s="36" t="str">
        <f ca="1">IF(DAY(ЛютНд1)=1,IF(AND(YEAR(ЛютНд1+29)=КалендарРік,MONTH(ЛютНд1+29)=2),ЛютНд1+29,""),IF(AND(YEAR(ЛютНд1+36)=КалендарРік,MONTH(ЛютНд1+36)=2),ЛютНд1+36,""))</f>
        <v/>
      </c>
      <c r="L10" s="36" t="str">
        <f ca="1">IF(DAY(ЛютНд1)=1,IF(AND(YEAR(ЛютНд1+30)=КалендарРік,MONTH(ЛютНд1+30)=2),ЛютНд1+30,""),IF(AND(YEAR(ЛютНд1+37)=КалендарРік,MONTH(ЛютНд1+37)=2),ЛютНд1+37,""))</f>
        <v/>
      </c>
      <c r="M10" s="36" t="str">
        <f ca="1">IF(DAY(ЛютНд1)=1,IF(AND(YEAR(ЛютНд1+31)=КалендарРік,MONTH(ЛютНд1+31)=2),ЛютНд1+31,""),IF(AND(YEAR(ЛютНд1+38)=КалендарРік,MONTH(ЛютНд1+38)=2),ЛютНд1+38,""))</f>
        <v/>
      </c>
      <c r="N10" s="36" t="str">
        <f ca="1">IF(DAY(ЛютНд1)=1,IF(AND(YEAR(ЛютНд1+32)=КалендарРік,MONTH(ЛютНд1+32)=2),ЛютНд1+32,""),IF(AND(YEAR(ЛютНд1+39)=КалендарРік,MONTH(ЛютНд1+39)=2),ЛютНд1+39,""))</f>
        <v/>
      </c>
      <c r="O10" s="36" t="str">
        <f ca="1">IF(DAY(ЛютНд1)=1,IF(AND(YEAR(ЛютНд1+33)=КалендарРік,MONTH(ЛютНд1+33)=2),ЛютНд1+33,""),IF(AND(YEAR(ЛютНд1+40)=КалендарРік,MONTH(ЛютНд1+40)=2),ЛютНд1+40,""))</f>
        <v/>
      </c>
      <c r="P10" s="36" t="str">
        <f ca="1">IF(DAY(ЛютНд1)=1,IF(AND(YEAR(ЛютНд1+34)=КалендарРік,MONTH(ЛютНд1+34)=2),ЛютНд1+34,""),IF(AND(YEAR(ЛютНд1+41)=КалендарРік,MONTH(ЛютНд1+41)=2),ЛютНд1+41,""))</f>
        <v/>
      </c>
      <c r="Q10" s="36" t="str">
        <f ca="1">IF(DAY(ЛютНд1)=1,IF(AND(YEAR(ЛютНд1+35)=КалендарРік,MONTH(ЛютНд1+35)=2),ЛютНд1+35,""),IF(AND(YEAR(ЛютНд1+42)=КалендарРік,MONTH(ЛютНд1+42)=2),ЛютНд1+42,""))</f>
        <v/>
      </c>
      <c r="R10" s="2"/>
      <c r="S10" s="5"/>
      <c r="U10" s="18" t="s">
        <v>23</v>
      </c>
      <c r="Z10" s="2"/>
      <c r="AH10" s="2"/>
      <c r="AP10" s="2"/>
    </row>
    <row r="11" spans="1:42" ht="15" customHeight="1" x14ac:dyDescent="0.2">
      <c r="B11" s="2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1"/>
      <c r="S11" s="5"/>
      <c r="U11" s="11"/>
      <c r="Z11" s="2"/>
      <c r="AH11" s="2"/>
      <c r="AP11" s="2"/>
    </row>
    <row r="12" spans="1:42" s="22" customFormat="1" ht="15" customHeight="1" x14ac:dyDescent="0.25">
      <c r="A12" s="1"/>
      <c r="B12" s="2"/>
      <c r="C12" s="4" t="s">
        <v>2</v>
      </c>
      <c r="D12" s="3"/>
      <c r="E12" s="3"/>
      <c r="F12" s="3"/>
      <c r="G12" s="3"/>
      <c r="H12" s="3"/>
      <c r="I12" s="3"/>
      <c r="J12" s="21"/>
      <c r="K12" s="4" t="s">
        <v>12</v>
      </c>
      <c r="L12" s="3"/>
      <c r="M12" s="3"/>
      <c r="N12" s="3"/>
      <c r="O12" s="3"/>
      <c r="P12" s="3"/>
      <c r="Q12" s="3"/>
      <c r="R12" s="2"/>
      <c r="S12" s="37"/>
      <c r="T12"/>
      <c r="U12" s="12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</row>
    <row r="13" spans="1:42" ht="15" customHeight="1" x14ac:dyDescent="0.25">
      <c r="B13" s="2"/>
      <c r="C13" s="26" t="s">
        <v>1</v>
      </c>
      <c r="D13" s="35" t="s">
        <v>7</v>
      </c>
      <c r="E13" s="26" t="s">
        <v>9</v>
      </c>
      <c r="F13" s="26" t="s">
        <v>8</v>
      </c>
      <c r="G13" s="35" t="s">
        <v>1</v>
      </c>
      <c r="H13" s="35" t="s">
        <v>9</v>
      </c>
      <c r="I13" s="26" t="s">
        <v>10</v>
      </c>
      <c r="J13" s="19"/>
      <c r="K13" s="27" t="s">
        <v>1</v>
      </c>
      <c r="L13" s="35" t="s">
        <v>7</v>
      </c>
      <c r="M13" s="27" t="s">
        <v>9</v>
      </c>
      <c r="N13" s="27" t="s">
        <v>8</v>
      </c>
      <c r="O13" s="35" t="s">
        <v>1</v>
      </c>
      <c r="P13" s="35" t="s">
        <v>9</v>
      </c>
      <c r="Q13" s="27" t="s">
        <v>10</v>
      </c>
      <c r="R13" s="2"/>
      <c r="S13" s="5"/>
      <c r="U13" s="18"/>
      <c r="Z13" s="2"/>
      <c r="AH13" s="2"/>
      <c r="AP13" s="2"/>
    </row>
    <row r="14" spans="1:42" ht="15" customHeight="1" x14ac:dyDescent="0.2">
      <c r="B14" s="2"/>
      <c r="C14" s="36" t="str">
        <f ca="1">IF(DAY(БерНд1)=1,"",IF(AND(YEAR(БерНд1+1)=КалендарРік,MONTH(БерНд1+1)=3),БерНд1+1,""))</f>
        <v/>
      </c>
      <c r="D14" s="36" t="str">
        <f ca="1">IF(DAY(БерНд1)=1,"",IF(AND(YEAR(БерНд1+2)=КалендарРік,MONTH(БерНд1+2)=3),БерНд1+2,""))</f>
        <v/>
      </c>
      <c r="E14" s="36" t="str">
        <f ca="1">IF(DAY(БерНд1)=1,"",IF(AND(YEAR(БерНд1+3)=КалендарРік,MONTH(БерНд1+3)=3),БерНд1+3,""))</f>
        <v/>
      </c>
      <c r="F14" s="36" t="str">
        <f ca="1">IF(DAY(БерНд1)=1,"",IF(AND(YEAR(БерНд1+4)=КалендарРік,MONTH(БерНд1+4)=3),БерНд1+4,""))</f>
        <v/>
      </c>
      <c r="G14" s="36">
        <f ca="1">IF(DAY(БерНд1)=1,"",IF(AND(YEAR(БерНд1+5)=КалендарРік,MONTH(БерНд1+5)=3),БерНд1+5,""))</f>
        <v>43525</v>
      </c>
      <c r="H14" s="36">
        <f ca="1">IF(DAY(БерНд1)=1,"",IF(AND(YEAR(БерНд1+6)=КалендарРік,MONTH(БерНд1+6)=3),БерНд1+6,""))</f>
        <v>43526</v>
      </c>
      <c r="I14" s="36">
        <f ca="1">IF(DAY(БерНд1)=1,IF(AND(YEAR(БерНд1)=КалендарРік,MONTH(БерНд1)=3),БерНд1,""),IF(AND(YEAR(БерНд1+7)=КалендарРік,MONTH(БерНд1+7)=3),БерНд1+7,""))</f>
        <v>43527</v>
      </c>
      <c r="J14" s="20"/>
      <c r="K14" s="36">
        <f ca="1">IF(DAY(КвіНд1)=1,"",IF(AND(YEAR(КвіНд1+1)=КалендарРік,MONTH(КвіНд1+1)=4),КвіНд1+1,""))</f>
        <v>43556</v>
      </c>
      <c r="L14" s="36">
        <f ca="1">IF(DAY(КвіНд1)=1,"",IF(AND(YEAR(КвіНд1+2)=КалендарРік,MONTH(КвіНд1+2)=4),КвіНд1+2,""))</f>
        <v>43557</v>
      </c>
      <c r="M14" s="36">
        <f ca="1">IF(DAY(КвіНд1)=1,"",IF(AND(YEAR(КвіНд1+3)=КалендарРік,MONTH(КвіНд1+3)=4),КвіНд1+3,""))</f>
        <v>43558</v>
      </c>
      <c r="N14" s="36">
        <f ca="1">IF(DAY(КвіНд1)=1,"",IF(AND(YEAR(КвіНд1+4)=КалендарРік,MONTH(КвіНд1+4)=4),КвіНд1+4,""))</f>
        <v>43559</v>
      </c>
      <c r="O14" s="36">
        <f ca="1">IF(DAY(КвіНд1)=1,"",IF(AND(YEAR(КвіНд1+5)=КалендарРік,MONTH(КвіНд1+5)=4),КвіНд1+5,""))</f>
        <v>43560</v>
      </c>
      <c r="P14" s="36">
        <f ca="1">IF(DAY(КвіНд1)=1,"",IF(AND(YEAR(КвіНд1+6)=КалендарРік,MONTH(КвіНд1+6)=4),КвіНд1+6,""))</f>
        <v>43561</v>
      </c>
      <c r="Q14" s="36">
        <f ca="1">IF(DAY(КвіНд1)=1,IF(AND(YEAR(КвіНд1)=КалендарРік,MONTH(КвіНд1)=4),КвіНд1,""),IF(AND(YEAR(КвіНд1+7)=КалендарРік,MONTH(КвіНд1+7)=4),КвіНд1+7,""))</f>
        <v>43562</v>
      </c>
      <c r="R14" s="2"/>
      <c r="S14" s="5"/>
      <c r="U14" s="11"/>
      <c r="Z14" s="2"/>
      <c r="AH14" s="2"/>
      <c r="AP14" s="2"/>
    </row>
    <row r="15" spans="1:42" ht="15" customHeight="1" x14ac:dyDescent="0.2">
      <c r="B15" s="2"/>
      <c r="C15" s="36">
        <f ca="1">IF(DAY(БерНд1)=1,IF(AND(YEAR(БерНд1+1)=КалендарРік,MONTH(БерНд1+1)=3),БерНд1+1,""),IF(AND(YEAR(БерНд1+8)=КалендарРік,MONTH(БерНд1+8)=3),БерНд1+8,""))</f>
        <v>43528</v>
      </c>
      <c r="D15" s="36">
        <f ca="1">IF(DAY(БерНд1)=1,IF(AND(YEAR(БерНд1+2)=КалендарРік,MONTH(БерНд1+2)=3),БерНд1+2,""),IF(AND(YEAR(БерНд1+9)=КалендарРік,MONTH(БерНд1+9)=3),БерНд1+9,""))</f>
        <v>43529</v>
      </c>
      <c r="E15" s="36">
        <f ca="1">IF(DAY(БерНд1)=1,IF(AND(YEAR(БерНд1+3)=КалендарРік,MONTH(БерНд1+3)=3),БерНд1+3,""),IF(AND(YEAR(БерНд1+10)=КалендарРік,MONTH(БерНд1+10)=3),БерНд1+10,""))</f>
        <v>43530</v>
      </c>
      <c r="F15" s="36">
        <f ca="1">IF(DAY(БерНд1)=1,IF(AND(YEAR(БерНд1+4)=КалендарРік,MONTH(БерНд1+4)=3),БерНд1+4,""),IF(AND(YEAR(БерНд1+11)=КалендарРік,MONTH(БерНд1+11)=3),БерНд1+11,""))</f>
        <v>43531</v>
      </c>
      <c r="G15" s="36">
        <f ca="1">IF(DAY(БерНд1)=1,IF(AND(YEAR(БерНд1+5)=КалендарРік,MONTH(БерНд1+5)=3),БерНд1+5,""),IF(AND(YEAR(БерНд1+12)=КалендарРік,MONTH(БерНд1+12)=3),БерНд1+12,""))</f>
        <v>43532</v>
      </c>
      <c r="H15" s="36">
        <f ca="1">IF(DAY(БерНд1)=1,IF(AND(YEAR(БерНд1+6)=КалендарРік,MONTH(БерНд1+6)=3),БерНд1+6,""),IF(AND(YEAR(БерНд1+13)=КалендарРік,MONTH(БерНд1+13)=3),БерНд1+13,""))</f>
        <v>43533</v>
      </c>
      <c r="I15" s="36">
        <f ca="1">IF(DAY(БерНд1)=1,IF(AND(YEAR(БерНд1+7)=КалендарРік,MONTH(БерНд1+7)=3),БерНд1+7,""),IF(AND(YEAR(БерНд1+14)=КалендарРік,MONTH(БерНд1+14)=3),БерНд1+14,""))</f>
        <v>43534</v>
      </c>
      <c r="J15" s="20"/>
      <c r="K15" s="36">
        <f ca="1">IF(DAY(КвіНд1)=1,IF(AND(YEAR(КвіНд1+1)=КалендарРік,MONTH(КвіНд1+1)=4),КвіНд1+1,""),IF(AND(YEAR(КвіНд1+8)=КалендарРік,MONTH(КвіНд1+8)=4),КвіНд1+8,""))</f>
        <v>43563</v>
      </c>
      <c r="L15" s="36">
        <f ca="1">IF(DAY(КвіНд1)=1,IF(AND(YEAR(КвіНд1+2)=КалендарРік,MONTH(КвіНд1+2)=4),КвіНд1+2,""),IF(AND(YEAR(КвіНд1+9)=КалендарРік,MONTH(КвіНд1+9)=4),КвіНд1+9,""))</f>
        <v>43564</v>
      </c>
      <c r="M15" s="36">
        <f ca="1">IF(DAY(КвіНд1)=1,IF(AND(YEAR(КвіНд1+3)=КалендарРік,MONTH(КвіНд1+3)=4),КвіНд1+3,""),IF(AND(YEAR(КвіНд1+10)=КалендарРік,MONTH(КвіНд1+10)=4),КвіНд1+10,""))</f>
        <v>43565</v>
      </c>
      <c r="N15" s="36">
        <f ca="1">IF(DAY(КвіНд1)=1,IF(AND(YEAR(КвіНд1+4)=КалендарРік,MONTH(КвіНд1+4)=4),КвіНд1+4,""),IF(AND(YEAR(КвіНд1+11)=КалендарРік,MONTH(КвіНд1+11)=4),КвіНд1+11,""))</f>
        <v>43566</v>
      </c>
      <c r="O15" s="36">
        <f ca="1">IF(DAY(КвіНд1)=1,IF(AND(YEAR(КвіНд1+5)=КалендарРік,MONTH(КвіНд1+5)=4),КвіНд1+5,""),IF(AND(YEAR(КвіНд1+12)=КалендарРік,MONTH(КвіНд1+12)=4),КвіНд1+12,""))</f>
        <v>43567</v>
      </c>
      <c r="P15" s="36">
        <f ca="1">IF(DAY(КвіНд1)=1,IF(AND(YEAR(КвіНд1+6)=КалендарРік,MONTH(КвіНд1+6)=4),КвіНд1+6,""),IF(AND(YEAR(КвіНд1+13)=КалендарРік,MONTH(КвіНд1+13)=4),КвіНд1+13,""))</f>
        <v>43568</v>
      </c>
      <c r="Q15" s="36">
        <f ca="1">IF(DAY(КвіНд1)=1,IF(AND(YEAR(КвіНд1+7)=КалендарРік,MONTH(КвіНд1+7)=4),КвіНд1+7,""),IF(AND(YEAR(КвіНд1+14)=КалендарРік,MONTH(КвіНд1+14)=4),КвіНд1+14,""))</f>
        <v>43569</v>
      </c>
      <c r="R15" s="2"/>
      <c r="S15" s="5"/>
      <c r="U15" s="12"/>
      <c r="Z15" s="2"/>
      <c r="AH15" s="2"/>
      <c r="AP15" s="2"/>
    </row>
    <row r="16" spans="1:42" ht="15" customHeight="1" x14ac:dyDescent="0.2">
      <c r="B16" s="2"/>
      <c r="C16" s="36">
        <f ca="1">IF(DAY(БерНд1)=1,IF(AND(YEAR(БерНд1+8)=КалендарРік,MONTH(БерНд1+8)=3),БерНд1+8,""),IF(AND(YEAR(БерНд1+15)=КалендарРік,MONTH(БерНд1+15)=3),БерНд1+15,""))</f>
        <v>43535</v>
      </c>
      <c r="D16" s="36">
        <f ca="1">IF(DAY(БерНд1)=1,IF(AND(YEAR(БерНд1+9)=КалендарРік,MONTH(БерНд1+9)=3),БерНд1+9,""),IF(AND(YEAR(БерНд1+16)=КалендарРік,MONTH(БерНд1+16)=3),БерНд1+16,""))</f>
        <v>43536</v>
      </c>
      <c r="E16" s="36">
        <f ca="1">IF(DAY(БерНд1)=1,IF(AND(YEAR(БерНд1+10)=КалендарРік,MONTH(БерНд1+10)=3),БерНд1+10,""),IF(AND(YEAR(БерНд1+17)=КалендарРік,MONTH(БерНд1+17)=3),БерНд1+17,""))</f>
        <v>43537</v>
      </c>
      <c r="F16" s="36">
        <f ca="1">IF(DAY(БерНд1)=1,IF(AND(YEAR(БерНд1+11)=КалендарРік,MONTH(БерНд1+11)=3),БерНд1+11,""),IF(AND(YEAR(БерНд1+18)=КалендарРік,MONTH(БерНд1+18)=3),БерНд1+18,""))</f>
        <v>43538</v>
      </c>
      <c r="G16" s="36">
        <f ca="1">IF(DAY(БерНд1)=1,IF(AND(YEAR(БерНд1+12)=КалендарРік,MONTH(БерНд1+12)=3),БерНд1+12,""),IF(AND(YEAR(БерНд1+19)=КалендарРік,MONTH(БерНд1+19)=3),БерНд1+19,""))</f>
        <v>43539</v>
      </c>
      <c r="H16" s="36">
        <f ca="1">IF(DAY(БерНд1)=1,IF(AND(YEAR(БерНд1+13)=КалендарРік,MONTH(БерНд1+13)=3),БерНд1+13,""),IF(AND(YEAR(БерНд1+20)=КалендарРік,MONTH(БерНд1+20)=3),БерНд1+20,""))</f>
        <v>43540</v>
      </c>
      <c r="I16" s="36">
        <f ca="1">IF(DAY(БерНд1)=1,IF(AND(YEAR(БерНд1+14)=КалендарРік,MONTH(БерНд1+14)=3),БерНд1+14,""),IF(AND(YEAR(БерНд1+21)=КалендарРік,MONTH(БерНд1+21)=3),БерНд1+21,""))</f>
        <v>43541</v>
      </c>
      <c r="J16" s="20"/>
      <c r="K16" s="36">
        <f ca="1">IF(DAY(КвіНд1)=1,IF(AND(YEAR(КвіНд1+8)=КалендарРік,MONTH(КвіНд1+8)=4),КвіНд1+8,""),IF(AND(YEAR(КвіНд1+15)=КалендарРік,MONTH(КвіНд1+15)=4),КвіНд1+15,""))</f>
        <v>43570</v>
      </c>
      <c r="L16" s="36">
        <f ca="1">IF(DAY(КвіНд1)=1,IF(AND(YEAR(КвіНд1+9)=КалендарРік,MONTH(КвіНд1+9)=4),КвіНд1+9,""),IF(AND(YEAR(КвіНд1+16)=КалендарРік,MONTH(КвіНд1+16)=4),КвіНд1+16,""))</f>
        <v>43571</v>
      </c>
      <c r="M16" s="36">
        <f ca="1">IF(DAY(КвіНд1)=1,IF(AND(YEAR(КвіНд1+10)=КалендарРік,MONTH(КвіНд1+10)=4),КвіНд1+10,""),IF(AND(YEAR(КвіНд1+17)=КалендарРік,MONTH(КвіНд1+17)=4),КвіНд1+17,""))</f>
        <v>43572</v>
      </c>
      <c r="N16" s="36">
        <f ca="1">IF(DAY(КвіНд1)=1,IF(AND(YEAR(КвіНд1+11)=КалендарРік,MONTH(КвіНд1+11)=4),КвіНд1+11,""),IF(AND(YEAR(КвіНд1+18)=КалендарРік,MONTH(КвіНд1+18)=4),КвіНд1+18,""))</f>
        <v>43573</v>
      </c>
      <c r="O16" s="36">
        <f ca="1">IF(DAY(КвіНд1)=1,IF(AND(YEAR(КвіНд1+12)=КалендарРік,MONTH(КвіНд1+12)=4),КвіНд1+12,""),IF(AND(YEAR(КвіНд1+19)=КалендарРік,MONTH(КвіНд1+19)=4),КвіНд1+19,""))</f>
        <v>43574</v>
      </c>
      <c r="P16" s="36">
        <f ca="1">IF(DAY(КвіНд1)=1,IF(AND(YEAR(КвіНд1+13)=КалендарРік,MONTH(КвіНд1+13)=4),КвіНд1+13,""),IF(AND(YEAR(КвіНд1+20)=КалендарРік,MONTH(КвіНд1+20)=4),КвіНд1+20,""))</f>
        <v>43575</v>
      </c>
      <c r="Q16" s="36">
        <f ca="1">IF(DAY(КвіНд1)=1,IF(AND(YEAR(КвіНд1+14)=КалендарРік,MONTH(КвіНд1+14)=4),КвіНд1+14,""),IF(AND(YEAR(КвіНд1+21)=КалендарРік,MONTH(КвіНд1+21)=4),КвіНд1+21,""))</f>
        <v>43576</v>
      </c>
      <c r="R16" s="2"/>
      <c r="S16" s="5"/>
      <c r="U16" s="18"/>
      <c r="Z16" s="2"/>
      <c r="AH16" s="2"/>
      <c r="AP16" s="2"/>
    </row>
    <row r="17" spans="1:42" ht="15" customHeight="1" x14ac:dyDescent="0.2">
      <c r="B17" s="2"/>
      <c r="C17" s="36">
        <f ca="1">IF(DAY(БерНд1)=1,IF(AND(YEAR(БерНд1+15)=КалендарРік,MONTH(БерНд1+15)=3),БерНд1+15,""),IF(AND(YEAR(БерНд1+22)=КалендарРік,MONTH(БерНд1+22)=3),БерНд1+22,""))</f>
        <v>43542</v>
      </c>
      <c r="D17" s="36">
        <f ca="1">IF(DAY(БерНд1)=1,IF(AND(YEAR(БерНд1+16)=КалендарРік,MONTH(БерНд1+16)=3),БерНд1+16,""),IF(AND(YEAR(БерНд1+23)=КалендарРік,MONTH(БерНд1+23)=3),БерНд1+23,""))</f>
        <v>43543</v>
      </c>
      <c r="E17" s="36">
        <f ca="1">IF(DAY(БерНд1)=1,IF(AND(YEAR(БерНд1+17)=КалендарРік,MONTH(БерНд1+17)=3),БерНд1+17,""),IF(AND(YEAR(БерНд1+24)=КалендарРік,MONTH(БерНд1+24)=3),БерНд1+24,""))</f>
        <v>43544</v>
      </c>
      <c r="F17" s="36">
        <f ca="1">IF(DAY(БерНд1)=1,IF(AND(YEAR(БерНд1+18)=КалендарРік,MONTH(БерНд1+18)=3),БерНд1+18,""),IF(AND(YEAR(БерНд1+25)=КалендарРік,MONTH(БерНд1+25)=3),БерНд1+25,""))</f>
        <v>43545</v>
      </c>
      <c r="G17" s="36">
        <f ca="1">IF(DAY(БерНд1)=1,IF(AND(YEAR(БерНд1+19)=КалендарРік,MONTH(БерНд1+19)=3),БерНд1+19,""),IF(AND(YEAR(БерНд1+26)=КалендарРік,MONTH(БерНд1+26)=3),БерНд1+26,""))</f>
        <v>43546</v>
      </c>
      <c r="H17" s="36">
        <f ca="1">IF(DAY(БерНд1)=1,IF(AND(YEAR(БерНд1+20)=КалендарРік,MONTH(БерНд1+20)=3),БерНд1+20,""),IF(AND(YEAR(БерНд1+27)=КалендарРік,MONTH(БерНд1+27)=3),БерНд1+27,""))</f>
        <v>43547</v>
      </c>
      <c r="I17" s="36">
        <f ca="1">IF(DAY(БерНд1)=1,IF(AND(YEAR(БерНд1+21)=КалендарРік,MONTH(БерНд1+21)=3),БерНд1+21,""),IF(AND(YEAR(БерНд1+28)=КалендарРік,MONTH(БерНд1+28)=3),БерНд1+28,""))</f>
        <v>43548</v>
      </c>
      <c r="J17" s="20"/>
      <c r="K17" s="36">
        <f ca="1">IF(DAY(КвіНд1)=1,IF(AND(YEAR(КвіНд1+15)=КалендарРік,MONTH(КвіНд1+15)=4),КвіНд1+15,""),IF(AND(YEAR(КвіНд1+22)=КалендарРік,MONTH(КвіНд1+22)=4),КвіНд1+22,""))</f>
        <v>43577</v>
      </c>
      <c r="L17" s="36">
        <f ca="1">IF(DAY(КвіНд1)=1,IF(AND(YEAR(КвіНд1+16)=КалендарРік,MONTH(КвіНд1+16)=4),КвіНд1+16,""),IF(AND(YEAR(КвіНд1+23)=КалендарРік,MONTH(КвіНд1+23)=4),КвіНд1+23,""))</f>
        <v>43578</v>
      </c>
      <c r="M17" s="36">
        <f ca="1">IF(DAY(КвіНд1)=1,IF(AND(YEAR(КвіНд1+17)=КалендарРік,MONTH(КвіНд1+17)=4),КвіНд1+17,""),IF(AND(YEAR(КвіНд1+24)=КалендарРік,MONTH(КвіНд1+24)=4),КвіНд1+24,""))</f>
        <v>43579</v>
      </c>
      <c r="N17" s="36">
        <f ca="1">IF(DAY(КвіНд1)=1,IF(AND(YEAR(КвіНд1+18)=КалендарРік,MONTH(КвіНд1+18)=4),КвіНд1+18,""),IF(AND(YEAR(КвіНд1+25)=КалендарРік,MONTH(КвіНд1+25)=4),КвіНд1+25,""))</f>
        <v>43580</v>
      </c>
      <c r="O17" s="36">
        <f ca="1">IF(DAY(КвіНд1)=1,IF(AND(YEAR(КвіНд1+19)=КалендарРік,MONTH(КвіНд1+19)=4),КвіНд1+19,""),IF(AND(YEAR(КвіНд1+26)=КалендарРік,MONTH(КвіНд1+26)=4),КвіНд1+26,""))</f>
        <v>43581</v>
      </c>
      <c r="P17" s="36">
        <f ca="1">IF(DAY(КвіНд1)=1,IF(AND(YEAR(КвіНд1+20)=КалендарРік,MONTH(КвіНд1+20)=4),КвіНд1+20,""),IF(AND(YEAR(КвіНд1+27)=КалендарРік,MONTH(КвіНд1+27)=4),КвіНд1+27,""))</f>
        <v>43582</v>
      </c>
      <c r="Q17" s="36">
        <f ca="1">IF(DAY(КвіНд1)=1,IF(AND(YEAR(КвіНд1+21)=КалендарРік,MONTH(КвіНд1+21)=4),КвіНд1+21,""),IF(AND(YEAR(КвіНд1+28)=КалендарРік,MONTH(КвіНд1+28)=4),КвіНд1+28,""))</f>
        <v>43583</v>
      </c>
      <c r="R17" s="2"/>
      <c r="S17" s="5"/>
      <c r="U17" s="11"/>
      <c r="Z17" s="2"/>
      <c r="AH17" s="2"/>
      <c r="AP17" s="2"/>
    </row>
    <row r="18" spans="1:42" ht="15" customHeight="1" x14ac:dyDescent="0.2">
      <c r="B18" s="2"/>
      <c r="C18" s="36">
        <f ca="1">IF(DAY(БерНд1)=1,IF(AND(YEAR(БерНд1+22)=КалендарРік,MONTH(БерНд1+22)=3),БерНд1+22,""),IF(AND(YEAR(БерНд1+29)=КалендарРік,MONTH(БерНд1+29)=3),БерНд1+29,""))</f>
        <v>43549</v>
      </c>
      <c r="D18" s="36">
        <f ca="1">IF(DAY(БерНд1)=1,IF(AND(YEAR(БерНд1+23)=КалендарРік,MONTH(БерНд1+23)=3),БерНд1+23,""),IF(AND(YEAR(БерНд1+30)=КалендарРік,MONTH(БерНд1+30)=3),БерНд1+30,""))</f>
        <v>43550</v>
      </c>
      <c r="E18" s="36">
        <f ca="1">IF(DAY(БерНд1)=1,IF(AND(YEAR(БерНд1+24)=КалендарРік,MONTH(БерНд1+24)=3),БерНд1+24,""),IF(AND(YEAR(БерНд1+31)=КалендарРік,MONTH(БерНд1+31)=3),БерНд1+31,""))</f>
        <v>43551</v>
      </c>
      <c r="F18" s="36">
        <f ca="1">IF(DAY(БерНд1)=1,IF(AND(YEAR(БерНд1+25)=КалендарРік,MONTH(БерНд1+25)=3),БерНд1+25,""),IF(AND(YEAR(БерНд1+32)=КалендарРік,MONTH(БерНд1+32)=3),БерНд1+32,""))</f>
        <v>43552</v>
      </c>
      <c r="G18" s="36">
        <f ca="1">IF(DAY(БерНд1)=1,IF(AND(YEAR(БерНд1+26)=КалендарРік,MONTH(БерНд1+26)=3),БерНд1+26,""),IF(AND(YEAR(БерНд1+33)=КалендарРік,MONTH(БерНд1+33)=3),БерНд1+33,""))</f>
        <v>43553</v>
      </c>
      <c r="H18" s="36">
        <f ca="1">IF(DAY(БерНд1)=1,IF(AND(YEAR(БерНд1+27)=КалендарРік,MONTH(БерНд1+27)=3),БерНд1+27,""),IF(AND(YEAR(БерНд1+34)=КалендарРік,MONTH(БерНд1+34)=3),БерНд1+34,""))</f>
        <v>43554</v>
      </c>
      <c r="I18" s="36">
        <f ca="1">IF(DAY(БерНд1)=1,IF(AND(YEAR(БерНд1+28)=КалендарРік,MONTH(БерНд1+28)=3),БерНд1+28,""),IF(AND(YEAR(БерНд1+35)=КалендарРік,MONTH(БерНд1+35)=3),БерНд1+35,""))</f>
        <v>43555</v>
      </c>
      <c r="J18" s="20"/>
      <c r="K18" s="36">
        <f ca="1">IF(DAY(КвіНд1)=1,IF(AND(YEAR(КвіНд1+22)=КалендарРік,MONTH(КвіНд1+22)=4),КвіНд1+22,""),IF(AND(YEAR(КвіНд1+29)=КалендарРік,MONTH(КвіНд1+29)=4),КвіНд1+29,""))</f>
        <v>43584</v>
      </c>
      <c r="L18" s="36">
        <f ca="1">IF(DAY(КвіНд1)=1,IF(AND(YEAR(КвіНд1+23)=КалендарРік,MONTH(КвіНд1+23)=4),КвіНд1+23,""),IF(AND(YEAR(КвіНд1+30)=КалендарРік,MONTH(КвіНд1+30)=4),КвіНд1+30,""))</f>
        <v>43585</v>
      </c>
      <c r="M18" s="36" t="str">
        <f ca="1">IF(DAY(КвіНд1)=1,IF(AND(YEAR(КвіНд1+24)=КалендарРік,MONTH(КвіНд1+24)=4),КвіНд1+24,""),IF(AND(YEAR(КвіНд1+31)=КалендарРік,MONTH(КвіНд1+31)=4),КвіНд1+31,""))</f>
        <v/>
      </c>
      <c r="N18" s="36" t="str">
        <f ca="1">IF(DAY(КвіНд1)=1,IF(AND(YEAR(КвіНд1+25)=КалендарРік,MONTH(КвіНд1+25)=4),КвіНд1+25,""),IF(AND(YEAR(КвіНд1+32)=КалендарРік,MONTH(КвіНд1+32)=4),КвіНд1+32,""))</f>
        <v/>
      </c>
      <c r="O18" s="36" t="str">
        <f ca="1">IF(DAY(КвіНд1)=1,IF(AND(YEAR(КвіНд1+26)=КалендарРік,MONTH(КвіНд1+26)=4),КвіНд1+26,""),IF(AND(YEAR(КвіНд1+33)=КалендарРік,MONTH(КвіНд1+33)=4),КвіНд1+33,""))</f>
        <v/>
      </c>
      <c r="P18" s="36" t="str">
        <f ca="1">IF(DAY(КвіНд1)=1,IF(AND(YEAR(КвіНд1+27)=КалендарРік,MONTH(КвіНд1+27)=4),КвіНд1+27,""),IF(AND(YEAR(КвіНд1+34)=КалендарРік,MONTH(КвіНд1+34)=4),КвіНд1+34,""))</f>
        <v/>
      </c>
      <c r="Q18" s="36" t="str">
        <f ca="1">IF(DAY(КвіНд1)=1,IF(AND(YEAR(КвіНд1+28)=КалендарРік,MONTH(КвіНд1+28)=4),КвіНд1+28,""),IF(AND(YEAR(КвіНд1+35)=КалендарРік,MONTH(КвіНд1+35)=4),КвіНд1+35,""))</f>
        <v/>
      </c>
      <c r="R18" s="2"/>
      <c r="S18" s="5"/>
      <c r="U18" s="12"/>
      <c r="Z18" s="2"/>
      <c r="AH18" s="2"/>
      <c r="AP18" s="2"/>
    </row>
    <row r="19" spans="1:42" ht="15" customHeight="1" x14ac:dyDescent="0.2">
      <c r="B19" s="2"/>
      <c r="C19" s="36" t="str">
        <f ca="1">IF(DAY(БерНд1)=1,IF(AND(YEAR(БерНд1+29)=КалендарРік,MONTH(БерНд1+29)=3),БерНд1+29,""),IF(AND(YEAR(БерНд1+36)=КалендарРік,MONTH(БерНд1+36)=3),БерНд1+36,""))</f>
        <v/>
      </c>
      <c r="D19" s="36" t="str">
        <f ca="1">IF(DAY(БерНд1)=1,IF(AND(YEAR(БерНд1+30)=КалендарРік,MONTH(БерНд1+30)=3),БерНд1+30,""),IF(AND(YEAR(БерНд1+37)=КалендарРік,MONTH(БерНд1+37)=3),БерНд1+37,""))</f>
        <v/>
      </c>
      <c r="E19" s="36" t="str">
        <f ca="1">IF(DAY(БерНд1)=1,IF(AND(YEAR(БерНд1+31)=КалендарРік,MONTH(БерНд1+31)=3),БерНд1+31,""),IF(AND(YEAR(БерНд1+38)=КалендарРік,MONTH(БерНд1+38)=3),БерНд1+38,""))</f>
        <v/>
      </c>
      <c r="F19" s="36" t="str">
        <f ca="1">IF(DAY(БерНд1)=1,IF(AND(YEAR(БерНд1+32)=КалендарРік,MONTH(БерНд1+32)=3),БерНд1+32,""),IF(AND(YEAR(БерНд1+39)=КалендарРік,MONTH(БерНд1+39)=3),БерНд1+39,""))</f>
        <v/>
      </c>
      <c r="G19" s="36" t="str">
        <f ca="1">IF(DAY(БерНд1)=1,IF(AND(YEAR(БерНд1+33)=КалендарРік,MONTH(БерНд1+33)=3),БерНд1+33,""),IF(AND(YEAR(БерНд1+40)=КалендарРік,MONTH(БерНд1+40)=3),БерНд1+40,""))</f>
        <v/>
      </c>
      <c r="H19" s="36" t="str">
        <f ca="1">IF(DAY(БерНд1)=1,IF(AND(YEAR(БерНд1+34)=КалендарРік,MONTH(БерНд1+34)=3),БерНд1+34,""),IF(AND(YEAR(БерНд1+41)=КалендарРік,MONTH(БерНд1+41)=3),БерНд1+41,""))</f>
        <v/>
      </c>
      <c r="I19" s="36" t="str">
        <f ca="1">IF(DAY(БерНд1)=1,IF(AND(YEAR(БерНд1+35)=КалендарРік,MONTH(БерНд1+35)=3),БерНд1+35,""),IF(AND(YEAR(БерНд1+42)=КалендарРік,MONTH(БерНд1+42)=3),БерНд1+42,""))</f>
        <v/>
      </c>
      <c r="J19" s="20"/>
      <c r="K19" s="36" t="str">
        <f ca="1">IF(DAY(КвіНд1)=1,IF(AND(YEAR(КвіНд1+29)=КалендарРік,MONTH(КвіНд1+29)=4),КвіНд1+29,""),IF(AND(YEAR(КвіНд1+36)=КалендарРік,MONTH(КвіНд1+36)=4),КвіНд1+36,""))</f>
        <v/>
      </c>
      <c r="L19" s="36" t="str">
        <f ca="1">IF(DAY(КвіНд1)=1,IF(AND(YEAR(КвіНд1+30)=КалендарРік,MONTH(КвіНд1+30)=4),КвіНд1+30,""),IF(AND(YEAR(КвіНд1+37)=КалендарРік,MONTH(КвіНд1+37)=4),КвіНд1+37,""))</f>
        <v/>
      </c>
      <c r="M19" s="36" t="str">
        <f ca="1">IF(DAY(КвіНд1)=1,IF(AND(YEAR(КвіНд1+31)=КалендарРік,MONTH(КвіНд1+31)=4),КвіНд1+31,""),IF(AND(YEAR(КвіНд1+38)=КалендарРік,MONTH(КвіНд1+38)=4),КвіНд1+38,""))</f>
        <v/>
      </c>
      <c r="N19" s="36" t="str">
        <f ca="1">IF(DAY(КвіНд1)=1,IF(AND(YEAR(КвіНд1+32)=КалендарРік,MONTH(КвіНд1+32)=4),КвіНд1+32,""),IF(AND(YEAR(КвіНд1+39)=КалендарРік,MONTH(КвіНд1+39)=4),КвіНд1+39,""))</f>
        <v/>
      </c>
      <c r="O19" s="36" t="str">
        <f ca="1">IF(DAY(КвіНд1)=1,IF(AND(YEAR(КвіНд1+33)=КалендарРік,MONTH(КвіНд1+33)=4),КвіНд1+33,""),IF(AND(YEAR(КвіНд1+40)=КалендарРік,MONTH(КвіНд1+40)=4),КвіНд1+40,""))</f>
        <v/>
      </c>
      <c r="P19" s="36" t="str">
        <f ca="1">IF(DAY(КвіНд1)=1,IF(AND(YEAR(КвіНд1+34)=КалендарРік,MONTH(КвіНд1+34)=4),КвіНд1+34,""),IF(AND(YEAR(КвіНд1+41)=КалендарРік,MONTH(КвіНд1+41)=4),КвіНд1+41,""))</f>
        <v/>
      </c>
      <c r="Q19" s="36" t="str">
        <f ca="1">IF(DAY(КвіНд1)=1,IF(AND(YEAR(КвіНд1+35)=КалендарРік,MONTH(КвіНд1+35)=4),КвіНд1+35,""),IF(AND(YEAR(КвіНд1+42)=КалендарРік,MONTH(КвіНд1+42)=4),КвіНд1+42,""))</f>
        <v/>
      </c>
      <c r="R19" s="2"/>
      <c r="S19" s="5"/>
      <c r="U19" s="18"/>
      <c r="Z19" s="2"/>
      <c r="AH19" s="2"/>
      <c r="AP19" s="2"/>
    </row>
    <row r="20" spans="1:42" ht="15" customHeight="1" x14ac:dyDescent="0.2">
      <c r="B20" s="2"/>
      <c r="J20" s="20"/>
      <c r="R20" s="2"/>
      <c r="S20" s="5"/>
      <c r="U20" s="11"/>
      <c r="Z20" s="2"/>
      <c r="AH20" s="2"/>
      <c r="AP20" s="2"/>
    </row>
    <row r="21" spans="1:42" s="22" customFormat="1" ht="15" customHeight="1" x14ac:dyDescent="0.25">
      <c r="A21" s="1"/>
      <c r="B21" s="2"/>
      <c r="C21" s="4" t="s">
        <v>3</v>
      </c>
      <c r="D21" s="3"/>
      <c r="E21" s="3"/>
      <c r="F21" s="3"/>
      <c r="G21" s="3"/>
      <c r="H21" s="3"/>
      <c r="I21" s="3"/>
      <c r="J21" s="20"/>
      <c r="K21" s="4" t="s">
        <v>13</v>
      </c>
      <c r="L21" s="3"/>
      <c r="M21" s="3"/>
      <c r="N21" s="3"/>
      <c r="O21" s="3"/>
      <c r="P21" s="3"/>
      <c r="Q21" s="3"/>
      <c r="R21" s="2"/>
      <c r="S21" s="37"/>
      <c r="T21"/>
      <c r="U21" s="12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</row>
    <row r="22" spans="1:42" ht="15" customHeight="1" x14ac:dyDescent="0.2">
      <c r="B22" s="2"/>
      <c r="C22" s="28" t="s">
        <v>1</v>
      </c>
      <c r="D22" s="35" t="s">
        <v>7</v>
      </c>
      <c r="E22" s="28" t="s">
        <v>9</v>
      </c>
      <c r="F22" s="28" t="s">
        <v>8</v>
      </c>
      <c r="G22" s="35" t="s">
        <v>1</v>
      </c>
      <c r="H22" s="35" t="s">
        <v>9</v>
      </c>
      <c r="I22" s="28" t="s">
        <v>10</v>
      </c>
      <c r="J22" s="21"/>
      <c r="K22" s="29" t="s">
        <v>1</v>
      </c>
      <c r="L22" s="35" t="s">
        <v>7</v>
      </c>
      <c r="M22" s="29" t="s">
        <v>9</v>
      </c>
      <c r="N22" s="29" t="s">
        <v>8</v>
      </c>
      <c r="O22" s="35" t="s">
        <v>1</v>
      </c>
      <c r="P22" s="35" t="s">
        <v>9</v>
      </c>
      <c r="Q22" s="29" t="s">
        <v>10</v>
      </c>
      <c r="R22" s="2"/>
      <c r="S22" s="5"/>
      <c r="U22" s="18"/>
      <c r="Z22" s="2"/>
      <c r="AH22" s="2"/>
      <c r="AP22" s="2"/>
    </row>
    <row r="23" spans="1:42" ht="15" customHeight="1" x14ac:dyDescent="0.25">
      <c r="B23" s="2"/>
      <c r="C23" s="36" t="str">
        <f ca="1">IF(DAY(ТраНд1)=1,"",IF(AND(YEAR(ТраНд1+1)=КалендарРік,MONTH(ТраНд1+1)=5),ТраНд1+1,""))</f>
        <v/>
      </c>
      <c r="D23" s="36" t="str">
        <f ca="1">IF(DAY(ТраНд1)=1,"",IF(AND(YEAR(ТраНд1+2)=КалендарРік,MONTH(ТраНд1+2)=5),ТраНд1+2,""))</f>
        <v/>
      </c>
      <c r="E23" s="36">
        <f ca="1">IF(DAY(ТраНд1)=1,"",IF(AND(YEAR(ТраНд1+3)=КалендарРік,MONTH(ТраНд1+3)=5),ТраНд1+3,""))</f>
        <v>43586</v>
      </c>
      <c r="F23" s="36">
        <f ca="1">IF(DAY(ТраНд1)=1,"",IF(AND(YEAR(ТраНд1+4)=КалендарРік,MONTH(ТраНд1+4)=5),ТраНд1+4,""))</f>
        <v>43587</v>
      </c>
      <c r="G23" s="36">
        <f ca="1">IF(DAY(ТраНд1)=1,"",IF(AND(YEAR(ТраНд1+5)=КалендарРік,MONTH(ТраНд1+5)=5),ТраНд1+5,""))</f>
        <v>43588</v>
      </c>
      <c r="H23" s="36">
        <f ca="1">IF(DAY(ТраНд1)=1,"",IF(AND(YEAR(ТраНд1+6)=КалендарРік,MONTH(ТраНд1+6)=5),ТраНд1+6,""))</f>
        <v>43589</v>
      </c>
      <c r="I23" s="36">
        <f ca="1">IF(DAY(ТраНд1)=1,IF(AND(YEAR(ТраНд1)=КалендарРік,MONTH(ТраНд1)=5),ТраНд1,""),IF(AND(YEAR(ТраНд1+7)=КалендарРік,MONTH(ТраНд1+7)=5),ТраНд1+7,""))</f>
        <v>43590</v>
      </c>
      <c r="J23" s="19"/>
      <c r="K23" s="36" t="str">
        <f ca="1">IF(DAY(ЧерНд1)=1,"",IF(AND(YEAR(ЧерНд1+1)=КалендарРік,MONTH(ЧерНд1+1)=6),ЧерНд1+1,""))</f>
        <v/>
      </c>
      <c r="L23" s="36" t="str">
        <f ca="1">IF(DAY(ЧерНд1)=1,"",IF(AND(YEAR(ЧерНд1+2)=КалендарРік,MONTH(ЧерНд1+2)=6),ЧерНд1+2,""))</f>
        <v/>
      </c>
      <c r="M23" s="36" t="str">
        <f ca="1">IF(DAY(ЧерНд1)=1,"",IF(AND(YEAR(ЧерНд1+3)=КалендарРік,MONTH(ЧерНд1+3)=6),ЧерНд1+3,""))</f>
        <v/>
      </c>
      <c r="N23" s="36" t="str">
        <f ca="1">IF(DAY(ЧерНд1)=1,"",IF(AND(YEAR(ЧерНд1+4)=КалендарРік,MONTH(ЧерНд1+4)=6),ЧерНд1+4,""))</f>
        <v/>
      </c>
      <c r="O23" s="36" t="str">
        <f ca="1">IF(DAY(ЧерНд1)=1,"",IF(AND(YEAR(ЧерНд1+5)=КалендарРік,MONTH(ЧерНд1+5)=6),ЧерНд1+5,""))</f>
        <v/>
      </c>
      <c r="P23" s="36">
        <f ca="1">IF(DAY(ЧерНд1)=1,"",IF(AND(YEAR(ЧерНд1+6)=КалендарРік,MONTH(ЧерНд1+6)=6),ЧерНд1+6,""))</f>
        <v>43617</v>
      </c>
      <c r="Q23" s="36">
        <f ca="1">IF(DAY(ЧерНд1)=1,IF(AND(YEAR(ЧерНд1)=КалендарРік,MONTH(ЧерНд1)=6),ЧерНд1,""),IF(AND(YEAR(ЧерНд1+7)=КалендарРік,MONTH(ЧерНд1+7)=6),ЧерНд1+7,""))</f>
        <v>43618</v>
      </c>
      <c r="R23" s="2"/>
      <c r="S23" s="5"/>
      <c r="U23" s="11"/>
      <c r="Z23" s="2"/>
      <c r="AH23" s="2"/>
      <c r="AP23" s="2"/>
    </row>
    <row r="24" spans="1:42" ht="15" customHeight="1" x14ac:dyDescent="0.2">
      <c r="B24" s="2"/>
      <c r="C24" s="36">
        <f ca="1">IF(DAY(ТраНд1)=1,IF(AND(YEAR(ТраНд1+1)=КалендарРік,MONTH(ТраНд1+1)=5),ТраНд1+1,""),IF(AND(YEAR(ТраНд1+8)=КалендарРік,MONTH(ТраНд1+8)=5),ТраНд1+8,""))</f>
        <v>43591</v>
      </c>
      <c r="D24" s="36">
        <f ca="1">IF(DAY(ТраНд1)=1,IF(AND(YEAR(ТраНд1+2)=КалендарРік,MONTH(ТраНд1+2)=5),ТраНд1+2,""),IF(AND(YEAR(ТраНд1+9)=КалендарРік,MONTH(ТраНд1+9)=5),ТраНд1+9,""))</f>
        <v>43592</v>
      </c>
      <c r="E24" s="36">
        <f ca="1">IF(DAY(ТраНд1)=1,IF(AND(YEAR(ТраНд1+3)=КалендарРік,MONTH(ТраНд1+3)=5),ТраНд1+3,""),IF(AND(YEAR(ТраНд1+10)=КалендарРік,MONTH(ТраНд1+10)=5),ТраНд1+10,""))</f>
        <v>43593</v>
      </c>
      <c r="F24" s="36">
        <f ca="1">IF(DAY(ТраНд1)=1,IF(AND(YEAR(ТраНд1+4)=КалендарРік,MONTH(ТраНд1+4)=5),ТраНд1+4,""),IF(AND(YEAR(ТраНд1+11)=КалендарРік,MONTH(ТраНд1+11)=5),ТраНд1+11,""))</f>
        <v>43594</v>
      </c>
      <c r="G24" s="36">
        <f ca="1">IF(DAY(ТраНд1)=1,IF(AND(YEAR(ТраНд1+5)=КалендарРік,MONTH(ТраНд1+5)=5),ТраНд1+5,""),IF(AND(YEAR(ТраНд1+12)=КалендарРік,MONTH(ТраНд1+12)=5),ТраНд1+12,""))</f>
        <v>43595</v>
      </c>
      <c r="H24" s="36">
        <f ca="1">IF(DAY(ТраНд1)=1,IF(AND(YEAR(ТраНд1+6)=КалендарРік,MONTH(ТраНд1+6)=5),ТраНд1+6,""),IF(AND(YEAR(ТраНд1+13)=КалендарРік,MONTH(ТраНд1+13)=5),ТраНд1+13,""))</f>
        <v>43596</v>
      </c>
      <c r="I24" s="36">
        <f ca="1">IF(DAY(ТраНд1)=1,IF(AND(YEAR(ТраНд1+7)=КалендарРік,MONTH(ТраНд1+7)=5),ТраНд1+7,""),IF(AND(YEAR(ТраНд1+14)=КалендарРік,MONTH(ТраНд1+14)=5),ТраНд1+14,""))</f>
        <v>43597</v>
      </c>
      <c r="J24" s="20"/>
      <c r="K24" s="36">
        <f ca="1">IF(DAY(ЧерНд1)=1,IF(AND(YEAR(ЧерНд1+1)=КалендарРік,MONTH(ЧерНд1+1)=6),ЧерНд1+1,""),IF(AND(YEAR(ЧерНд1+8)=КалендарРік,MONTH(ЧерНд1+8)=6),ЧерНд1+8,""))</f>
        <v>43619</v>
      </c>
      <c r="L24" s="36">
        <f ca="1">IF(DAY(ЧерНд1)=1,IF(AND(YEAR(ЧерНд1+2)=КалендарРік,MONTH(ЧерНд1+2)=6),ЧерНд1+2,""),IF(AND(YEAR(ЧерНд1+9)=КалендарРік,MONTH(ЧерНд1+9)=6),ЧерНд1+9,""))</f>
        <v>43620</v>
      </c>
      <c r="M24" s="36">
        <f ca="1">IF(DAY(ЧерНд1)=1,IF(AND(YEAR(ЧерНд1+3)=КалендарРік,MONTH(ЧерНд1+3)=6),ЧерНд1+3,""),IF(AND(YEAR(ЧерНд1+10)=КалендарРік,MONTH(ЧерНд1+10)=6),ЧерНд1+10,""))</f>
        <v>43621</v>
      </c>
      <c r="N24" s="36">
        <f ca="1">IF(DAY(ЧерНд1)=1,IF(AND(YEAR(ЧерНд1+4)=КалендарРік,MONTH(ЧерНд1+4)=6),ЧерНд1+4,""),IF(AND(YEAR(ЧерНд1+11)=КалендарРік,MONTH(ЧерНд1+11)=6),ЧерНд1+11,""))</f>
        <v>43622</v>
      </c>
      <c r="O24" s="36">
        <f ca="1">IF(DAY(ЧерНд1)=1,IF(AND(YEAR(ЧерНд1+5)=КалендарРік,MONTH(ЧерНд1+5)=6),ЧерНд1+5,""),IF(AND(YEAR(ЧерНд1+12)=КалендарРік,MONTH(ЧерНд1+12)=6),ЧерНд1+12,""))</f>
        <v>43623</v>
      </c>
      <c r="P24" s="36">
        <f ca="1">IF(DAY(ЧерНд1)=1,IF(AND(YEAR(ЧерНд1+6)=КалендарРік,MONTH(ЧерНд1+6)=6),ЧерНд1+6,""),IF(AND(YEAR(ЧерНд1+13)=КалендарРік,MONTH(ЧерНд1+13)=6),ЧерНд1+13,""))</f>
        <v>43624</v>
      </c>
      <c r="Q24" s="36">
        <f ca="1">IF(DAY(ЧерНд1)=1,IF(AND(YEAR(ЧерНд1+7)=КалендарРік,MONTH(ЧерНд1+7)=6),ЧерНд1+7,""),IF(AND(YEAR(ЧерНд1+14)=КалендарРік,MONTH(ЧерНд1+14)=6),ЧерНд1+14,""))</f>
        <v>43625</v>
      </c>
      <c r="R24" s="2"/>
      <c r="S24" s="5"/>
      <c r="U24" s="12"/>
      <c r="Z24" s="2"/>
      <c r="AH24" s="2"/>
      <c r="AP24" s="2"/>
    </row>
    <row r="25" spans="1:42" ht="15" customHeight="1" x14ac:dyDescent="0.2">
      <c r="B25" s="2"/>
      <c r="C25" s="36">
        <f ca="1">IF(DAY(ТраНд1)=1,IF(AND(YEAR(ТраНд1+8)=КалендарРік,MONTH(ТраНд1+8)=5),ТраНд1+8,""),IF(AND(YEAR(ТраНд1+15)=КалендарРік,MONTH(ТраНд1+15)=5),ТраНд1+15,""))</f>
        <v>43598</v>
      </c>
      <c r="D25" s="36">
        <f ca="1">IF(DAY(ТраНд1)=1,IF(AND(YEAR(ТраНд1+9)=КалендарРік,MONTH(ТраНд1+9)=5),ТраНд1+9,""),IF(AND(YEAR(ТраНд1+16)=КалендарРік,MONTH(ТраНд1+16)=5),ТраНд1+16,""))</f>
        <v>43599</v>
      </c>
      <c r="E25" s="36">
        <f ca="1">IF(DAY(ТраНд1)=1,IF(AND(YEAR(ТраНд1+10)=КалендарРік,MONTH(ТраНд1+10)=5),ТраНд1+10,""),IF(AND(YEAR(ТраНд1+17)=КалендарРік,MONTH(ТраНд1+17)=5),ТраНд1+17,""))</f>
        <v>43600</v>
      </c>
      <c r="F25" s="36">
        <f ca="1">IF(DAY(ТраНд1)=1,IF(AND(YEAR(ТраНд1+11)=КалендарРік,MONTH(ТраНд1+11)=5),ТраНд1+11,""),IF(AND(YEAR(ТраНд1+18)=КалендарРік,MONTH(ТраНд1+18)=5),ТраНд1+18,""))</f>
        <v>43601</v>
      </c>
      <c r="G25" s="36">
        <f ca="1">IF(DAY(ТраНд1)=1,IF(AND(YEAR(ТраНд1+12)=КалендарРік,MONTH(ТраНд1+12)=5),ТраНд1+12,""),IF(AND(YEAR(ТраНд1+19)=КалендарРік,MONTH(ТраНд1+19)=5),ТраНд1+19,""))</f>
        <v>43602</v>
      </c>
      <c r="H25" s="36">
        <f ca="1">IF(DAY(ТраНд1)=1,IF(AND(YEAR(ТраНд1+13)=КалендарРік,MONTH(ТраНд1+13)=5),ТраНд1+13,""),IF(AND(YEAR(ТраНд1+20)=КалендарРік,MONTH(ТраНд1+20)=5),ТраНд1+20,""))</f>
        <v>43603</v>
      </c>
      <c r="I25" s="36">
        <f ca="1">IF(DAY(ТраНд1)=1,IF(AND(YEAR(ТраНд1+14)=КалендарРік,MONTH(ТраНд1+14)=5),ТраНд1+14,""),IF(AND(YEAR(ТраНд1+21)=КалендарРік,MONTH(ТраНд1+21)=5),ТраНд1+21,""))</f>
        <v>43604</v>
      </c>
      <c r="J25" s="20"/>
      <c r="K25" s="36">
        <f ca="1">IF(DAY(ЧерНд1)=1,IF(AND(YEAR(ЧерНд1+8)=КалендарРік,MONTH(ЧерНд1+8)=6),ЧерНд1+8,""),IF(AND(YEAR(ЧерНд1+15)=КалендарРік,MONTH(ЧерНд1+15)=6),ЧерНд1+15,""))</f>
        <v>43626</v>
      </c>
      <c r="L25" s="36">
        <f ca="1">IF(DAY(ЧерНд1)=1,IF(AND(YEAR(ЧерНд1+9)=КалендарРік,MONTH(ЧерНд1+9)=6),ЧерНд1+9,""),IF(AND(YEAR(ЧерНд1+16)=КалендарРік,MONTH(ЧерНд1+16)=6),ЧерНд1+16,""))</f>
        <v>43627</v>
      </c>
      <c r="M25" s="36">
        <f ca="1">IF(DAY(ЧерНд1)=1,IF(AND(YEAR(ЧерНд1+10)=КалендарРік,MONTH(ЧерНд1+10)=6),ЧерНд1+10,""),IF(AND(YEAR(ЧерНд1+17)=КалендарРік,MONTH(ЧерНд1+17)=6),ЧерНд1+17,""))</f>
        <v>43628</v>
      </c>
      <c r="N25" s="36">
        <f ca="1">IF(DAY(ЧерНд1)=1,IF(AND(YEAR(ЧерНд1+11)=КалендарРік,MONTH(ЧерНд1+11)=6),ЧерНд1+11,""),IF(AND(YEAR(ЧерНд1+18)=КалендарРік,MONTH(ЧерНд1+18)=6),ЧерНд1+18,""))</f>
        <v>43629</v>
      </c>
      <c r="O25" s="36">
        <f ca="1">IF(DAY(ЧерНд1)=1,IF(AND(YEAR(ЧерНд1+12)=КалендарРік,MONTH(ЧерНд1+12)=6),ЧерНд1+12,""),IF(AND(YEAR(ЧерНд1+19)=КалендарРік,MONTH(ЧерНд1+19)=6),ЧерНд1+19,""))</f>
        <v>43630</v>
      </c>
      <c r="P25" s="36">
        <f ca="1">IF(DAY(ЧерНд1)=1,IF(AND(YEAR(ЧерНд1+13)=КалендарРік,MONTH(ЧерНд1+13)=6),ЧерНд1+13,""),IF(AND(YEAR(ЧерНд1+20)=КалендарРік,MONTH(ЧерНд1+20)=6),ЧерНд1+20,""))</f>
        <v>43631</v>
      </c>
      <c r="Q25" s="36">
        <f ca="1">IF(DAY(ЧерНд1)=1,IF(AND(YEAR(ЧерНд1+14)=КалендарРік,MONTH(ЧерНд1+14)=6),ЧерНд1+14,""),IF(AND(YEAR(ЧерНд1+21)=КалендарРік,MONTH(ЧерНд1+21)=6),ЧерНд1+21,""))</f>
        <v>43632</v>
      </c>
      <c r="R25" s="2"/>
      <c r="S25" s="5"/>
      <c r="U25" s="18"/>
      <c r="Z25" s="2"/>
      <c r="AH25" s="2"/>
      <c r="AP25" s="2"/>
    </row>
    <row r="26" spans="1:42" ht="15" customHeight="1" x14ac:dyDescent="0.2">
      <c r="B26" s="2"/>
      <c r="C26" s="36">
        <f ca="1">IF(DAY(ТраНд1)=1,IF(AND(YEAR(ТраНд1+15)=КалендарРік,MONTH(ТраНд1+15)=5),ТраНд1+15,""),IF(AND(YEAR(ТраНд1+22)=КалендарРік,MONTH(ТраНд1+22)=5),ТраНд1+22,""))</f>
        <v>43605</v>
      </c>
      <c r="D26" s="36">
        <f ca="1">IF(DAY(ТраНд1)=1,IF(AND(YEAR(ТраНд1+16)=КалендарРік,MONTH(ТраНд1+16)=5),ТраНд1+16,""),IF(AND(YEAR(ТраНд1+23)=КалендарРік,MONTH(ТраНд1+23)=5),ТраНд1+23,""))</f>
        <v>43606</v>
      </c>
      <c r="E26" s="36">
        <f ca="1">IF(DAY(ТраНд1)=1,IF(AND(YEAR(ТраНд1+17)=КалендарРік,MONTH(ТраНд1+17)=5),ТраНд1+17,""),IF(AND(YEAR(ТраНд1+24)=КалендарРік,MONTH(ТраНд1+24)=5),ТраНд1+24,""))</f>
        <v>43607</v>
      </c>
      <c r="F26" s="36">
        <f ca="1">IF(DAY(ТраНд1)=1,IF(AND(YEAR(ТраНд1+18)=КалендарРік,MONTH(ТраНд1+18)=5),ТраНд1+18,""),IF(AND(YEAR(ТраНд1+25)=КалендарРік,MONTH(ТраНд1+25)=5),ТраНд1+25,""))</f>
        <v>43608</v>
      </c>
      <c r="G26" s="36">
        <f ca="1">IF(DAY(ТраНд1)=1,IF(AND(YEAR(ТраНд1+19)=КалендарРік,MONTH(ТраНд1+19)=5),ТраНд1+19,""),IF(AND(YEAR(ТраНд1+26)=КалендарРік,MONTH(ТраНд1+26)=5),ТраНд1+26,""))</f>
        <v>43609</v>
      </c>
      <c r="H26" s="36">
        <f ca="1">IF(DAY(ТраНд1)=1,IF(AND(YEAR(ТраНд1+20)=КалендарРік,MONTH(ТраНд1+20)=5),ТраНд1+20,""),IF(AND(YEAR(ТраНд1+27)=КалендарРік,MONTH(ТраНд1+27)=5),ТраНд1+27,""))</f>
        <v>43610</v>
      </c>
      <c r="I26" s="36">
        <f ca="1">IF(DAY(ТраНд1)=1,IF(AND(YEAR(ТраНд1+21)=КалендарРік,MONTH(ТраНд1+21)=5),ТраНд1+21,""),IF(AND(YEAR(ТраНд1+28)=КалендарРік,MONTH(ТраНд1+28)=5),ТраНд1+28,""))</f>
        <v>43611</v>
      </c>
      <c r="J26" s="20"/>
      <c r="K26" s="36">
        <f ca="1">IF(DAY(ЧерНд1)=1,IF(AND(YEAR(ЧерНд1+15)=КалендарРік,MONTH(ЧерНд1+15)=6),ЧерНд1+15,""),IF(AND(YEAR(ЧерНд1+22)=КалендарРік,MONTH(ЧерНд1+22)=6),ЧерНд1+22,""))</f>
        <v>43633</v>
      </c>
      <c r="L26" s="36">
        <f ca="1">IF(DAY(ЧерНд1)=1,IF(AND(YEAR(ЧерНд1+16)=КалендарРік,MONTH(ЧерНд1+16)=6),ЧерНд1+16,""),IF(AND(YEAR(ЧерНд1+23)=КалендарРік,MONTH(ЧерНд1+23)=6),ЧерНд1+23,""))</f>
        <v>43634</v>
      </c>
      <c r="M26" s="36">
        <f ca="1">IF(DAY(ЧерНд1)=1,IF(AND(YEAR(ЧерНд1+17)=КалендарРік,MONTH(ЧерНд1+17)=6),ЧерНд1+17,""),IF(AND(YEAR(ЧерНд1+24)=КалендарРік,MONTH(ЧерНд1+24)=6),ЧерНд1+24,""))</f>
        <v>43635</v>
      </c>
      <c r="N26" s="36">
        <f ca="1">IF(DAY(ЧерНд1)=1,IF(AND(YEAR(ЧерНд1+18)=КалендарРік,MONTH(ЧерНд1+18)=6),ЧерНд1+18,""),IF(AND(YEAR(ЧерНд1+25)=КалендарРік,MONTH(ЧерНд1+25)=6),ЧерНд1+25,""))</f>
        <v>43636</v>
      </c>
      <c r="O26" s="36">
        <f ca="1">IF(DAY(ЧерНд1)=1,IF(AND(YEAR(ЧерНд1+19)=КалендарРік,MONTH(ЧерНд1+19)=6),ЧерНд1+19,""),IF(AND(YEAR(ЧерНд1+26)=КалендарРік,MONTH(ЧерНд1+26)=6),ЧерНд1+26,""))</f>
        <v>43637</v>
      </c>
      <c r="P26" s="36">
        <f ca="1">IF(DAY(ЧерНд1)=1,IF(AND(YEAR(ЧерНд1+20)=КалендарРік,MONTH(ЧерНд1+20)=6),ЧерНд1+20,""),IF(AND(YEAR(ЧерНд1+27)=КалендарРік,MONTH(ЧерНд1+27)=6),ЧерНд1+27,""))</f>
        <v>43638</v>
      </c>
      <c r="Q26" s="36">
        <f ca="1">IF(DAY(ЧерНд1)=1,IF(AND(YEAR(ЧерНд1+21)=КалендарРік,MONTH(ЧерНд1+21)=6),ЧерНд1+21,""),IF(AND(YEAR(ЧерНд1+28)=КалендарРік,MONTH(ЧерНд1+28)=6),ЧерНд1+28,""))</f>
        <v>43639</v>
      </c>
      <c r="R26" s="2"/>
      <c r="S26" s="5"/>
      <c r="U26" s="11"/>
      <c r="Z26" s="2"/>
      <c r="AH26" s="2"/>
      <c r="AP26" s="2"/>
    </row>
    <row r="27" spans="1:42" ht="15" customHeight="1" x14ac:dyDescent="0.2">
      <c r="B27" s="2"/>
      <c r="C27" s="36">
        <f ca="1">IF(DAY(ТраНд1)=1,IF(AND(YEAR(ТраНд1+22)=КалендарРік,MONTH(ТраНд1+22)=5),ТраНд1+22,""),IF(AND(YEAR(ТраНд1+29)=КалендарРік,MONTH(ТраНд1+29)=5),ТраНд1+29,""))</f>
        <v>43612</v>
      </c>
      <c r="D27" s="36">
        <f ca="1">IF(DAY(ТраНд1)=1,IF(AND(YEAR(ТраНд1+23)=КалендарРік,MONTH(ТраНд1+23)=5),ТраНд1+23,""),IF(AND(YEAR(ТраНд1+30)=КалендарРік,MONTH(ТраНд1+30)=5),ТраНд1+30,""))</f>
        <v>43613</v>
      </c>
      <c r="E27" s="36">
        <f ca="1">IF(DAY(ТраНд1)=1,IF(AND(YEAR(ТраНд1+24)=КалендарРік,MONTH(ТраНд1+24)=5),ТраНд1+24,""),IF(AND(YEAR(ТраНд1+31)=КалендарРік,MONTH(ТраНд1+31)=5),ТраНд1+31,""))</f>
        <v>43614</v>
      </c>
      <c r="F27" s="36">
        <f ca="1">IF(DAY(ТраНд1)=1,IF(AND(YEAR(ТраНд1+25)=КалендарРік,MONTH(ТраНд1+25)=5),ТраНд1+25,""),IF(AND(YEAR(ТраНд1+32)=КалендарРік,MONTH(ТраНд1+32)=5),ТраНд1+32,""))</f>
        <v>43615</v>
      </c>
      <c r="G27" s="36">
        <f ca="1">IF(DAY(ТраНд1)=1,IF(AND(YEAR(ТраНд1+26)=КалендарРік,MONTH(ТраНд1+26)=5),ТраНд1+26,""),IF(AND(YEAR(ТраНд1+33)=КалендарРік,MONTH(ТраНд1+33)=5),ТраНд1+33,""))</f>
        <v>43616</v>
      </c>
      <c r="H27" s="36" t="str">
        <f ca="1">IF(DAY(ТраНд1)=1,IF(AND(YEAR(ТраНд1+27)=КалендарРік,MONTH(ТраНд1+27)=5),ТраНд1+27,""),IF(AND(YEAR(ТраНд1+34)=КалендарРік,MONTH(ТраНд1+34)=5),ТраНд1+34,""))</f>
        <v/>
      </c>
      <c r="I27" s="36" t="str">
        <f ca="1">IF(DAY(ТраНд1)=1,IF(AND(YEAR(ТраНд1+28)=КалендарРік,MONTH(ТраНд1+28)=5),ТраНд1+28,""),IF(AND(YEAR(ТраНд1+35)=КалендарРік,MONTH(ТраНд1+35)=5),ТраНд1+35,""))</f>
        <v/>
      </c>
      <c r="J27" s="20"/>
      <c r="K27" s="36">
        <f ca="1">IF(DAY(ЧерНд1)=1,IF(AND(YEAR(ЧерНд1+22)=КалендарРік,MONTH(ЧерНд1+22)=6),ЧерНд1+22,""),IF(AND(YEAR(ЧерНд1+29)=КалендарРік,MONTH(ЧерНд1+29)=6),ЧерНд1+29,""))</f>
        <v>43640</v>
      </c>
      <c r="L27" s="36">
        <f ca="1">IF(DAY(ЧерНд1)=1,IF(AND(YEAR(ЧерНд1+23)=КалендарРік,MONTH(ЧерНд1+23)=6),ЧерНд1+23,""),IF(AND(YEAR(ЧерНд1+30)=КалендарРік,MONTH(ЧерНд1+30)=6),ЧерНд1+30,""))</f>
        <v>43641</v>
      </c>
      <c r="M27" s="36">
        <f ca="1">IF(DAY(ЧерНд1)=1,IF(AND(YEAR(ЧерНд1+24)=КалендарРік,MONTH(ЧерНд1+24)=6),ЧерНд1+24,""),IF(AND(YEAR(ЧерНд1+31)=КалендарРік,MONTH(ЧерНд1+31)=6),ЧерНд1+31,""))</f>
        <v>43642</v>
      </c>
      <c r="N27" s="36">
        <f ca="1">IF(DAY(ЧерНд1)=1,IF(AND(YEAR(ЧерНд1+25)=КалендарРік,MONTH(ЧерНд1+25)=6),ЧерНд1+25,""),IF(AND(YEAR(ЧерНд1+32)=КалендарРік,MONTH(ЧерНд1+32)=6),ЧерНд1+32,""))</f>
        <v>43643</v>
      </c>
      <c r="O27" s="36">
        <f ca="1">IF(DAY(ЧерНд1)=1,IF(AND(YEAR(ЧерНд1+26)=КалендарРік,MONTH(ЧерНд1+26)=6),ЧерНд1+26,""),IF(AND(YEAR(ЧерНд1+33)=КалендарРік,MONTH(ЧерНд1+33)=6),ЧерНд1+33,""))</f>
        <v>43644</v>
      </c>
      <c r="P27" s="36">
        <f ca="1">IF(DAY(ЧерНд1)=1,IF(AND(YEAR(ЧерНд1+27)=КалендарРік,MONTH(ЧерНд1+27)=6),ЧерНд1+27,""),IF(AND(YEAR(ЧерНд1+34)=КалендарРік,MONTH(ЧерНд1+34)=6),ЧерНд1+34,""))</f>
        <v>43645</v>
      </c>
      <c r="Q27" s="36">
        <f ca="1">IF(DAY(ЧерНд1)=1,IF(AND(YEAR(ЧерНд1+28)=КалендарРік,MONTH(ЧерНд1+28)=6),ЧерНд1+28,""),IF(AND(YEAR(ЧерНд1+35)=КалендарРік,MONTH(ЧерНд1+35)=6),ЧерНд1+35,""))</f>
        <v>43646</v>
      </c>
      <c r="R27" s="2"/>
      <c r="S27" s="5"/>
      <c r="U27" s="12"/>
      <c r="Z27" s="2"/>
      <c r="AH27" s="2"/>
      <c r="AP27" s="2"/>
    </row>
    <row r="28" spans="1:42" ht="15" customHeight="1" x14ac:dyDescent="0.2">
      <c r="B28" s="2"/>
      <c r="C28" s="36" t="str">
        <f ca="1">IF(DAY(ТраНд1)=1,IF(AND(YEAR(ТраНд1+29)=КалендарРік,MONTH(ТраНд1+29)=5),ТраНд1+29,""),IF(AND(YEAR(ТраНд1+36)=КалендарРік,MONTH(ТраНд1+36)=5),ТраНд1+36,""))</f>
        <v/>
      </c>
      <c r="D28" s="36" t="str">
        <f ca="1">IF(DAY(ТраНд1)=1,IF(AND(YEAR(ТраНд1+30)=КалендарРік,MONTH(ТраНд1+30)=5),ТраНд1+30,""),IF(AND(YEAR(ТраНд1+37)=КалендарРік,MONTH(ТраНд1+37)=5),ТраНд1+37,""))</f>
        <v/>
      </c>
      <c r="E28" s="36" t="str">
        <f ca="1">IF(DAY(ТраНд1)=1,IF(AND(YEAR(ТраНд1+31)=КалендарРік,MONTH(ТраНд1+31)=5),ТраНд1+31,""),IF(AND(YEAR(ТраНд1+38)=КалендарРік,MONTH(ТраНд1+38)=5),ТраНд1+38,""))</f>
        <v/>
      </c>
      <c r="F28" s="36" t="str">
        <f ca="1">IF(DAY(ТраНд1)=1,IF(AND(YEAR(ТраНд1+32)=КалендарРік,MONTH(ТраНд1+32)=5),ТраНд1+32,""),IF(AND(YEAR(ТраНд1+39)=КалендарРік,MONTH(ТраНд1+39)=5),ТраНд1+39,""))</f>
        <v/>
      </c>
      <c r="G28" s="36" t="str">
        <f ca="1">IF(DAY(ТраНд1)=1,IF(AND(YEAR(ТраНд1+33)=КалендарРік,MONTH(ТраНд1+33)=5),ТраНд1+33,""),IF(AND(YEAR(ТраНд1+40)=КалендарРік,MONTH(ТраНд1+40)=5),ТраНд1+40,""))</f>
        <v/>
      </c>
      <c r="H28" s="36" t="str">
        <f ca="1">IF(DAY(ТраНд1)=1,IF(AND(YEAR(ТраНд1+34)=КалендарРік,MONTH(ТраНд1+34)=5),ТраНд1+34,""),IF(AND(YEAR(ТраНд1+41)=КалендарРік,MONTH(ТраНд1+41)=5),ТраНд1+41,""))</f>
        <v/>
      </c>
      <c r="I28" s="36" t="str">
        <f ca="1">IF(DAY(ТраНд1)=1,IF(AND(YEAR(ТраНд1+35)=КалендарРік,MONTH(ТраНд1+35)=5),ТраНд1+35,""),IF(AND(YEAR(ТраНд1+42)=КалендарРік,MONTH(ТраНд1+42)=5),ТраНд1+42,""))</f>
        <v/>
      </c>
      <c r="J28" s="20"/>
      <c r="K28" s="36" t="str">
        <f ca="1">IF(DAY(ЧерНд1)=1,IF(AND(YEAR(ЧерНд1+29)=КалендарРік,MONTH(ЧерНд1+29)=6),ЧерНд1+29,""),IF(AND(YEAR(ЧерНд1+36)=КалендарРік,MONTH(ЧерНд1+36)=6),ЧерНд1+36,""))</f>
        <v/>
      </c>
      <c r="L28" s="36" t="str">
        <f ca="1">IF(DAY(ЧерНд1)=1,IF(AND(YEAR(ЧерНд1+30)=КалендарРік,MONTH(ЧерНд1+30)=6),ЧерНд1+30,""),IF(AND(YEAR(ЧерНд1+37)=КалендарРік,MONTH(ЧерНд1+37)=6),ЧерНд1+37,""))</f>
        <v/>
      </c>
      <c r="M28" s="36" t="str">
        <f ca="1">IF(DAY(ЧерНд1)=1,IF(AND(YEAR(ЧерНд1+31)=КалендарРік,MONTH(ЧерНд1+31)=6),ЧерНд1+31,""),IF(AND(YEAR(ЧерНд1+38)=КалендарРік,MONTH(ЧерНд1+38)=6),ЧерНд1+38,""))</f>
        <v/>
      </c>
      <c r="N28" s="36" t="str">
        <f ca="1">IF(DAY(ЧерНд1)=1,IF(AND(YEAR(ЧерНд1+32)=КалендарРік,MONTH(ЧерНд1+32)=6),ЧерНд1+32,""),IF(AND(YEAR(ЧерНд1+39)=КалендарРік,MONTH(ЧерНд1+39)=6),ЧерНд1+39,""))</f>
        <v/>
      </c>
      <c r="O28" s="36" t="str">
        <f ca="1">IF(DAY(ЧерНд1)=1,IF(AND(YEAR(ЧерНд1+33)=КалендарРік,MONTH(ЧерНд1+33)=6),ЧерНд1+33,""),IF(AND(YEAR(ЧерНд1+40)=КалендарРік,MONTH(ЧерНд1+40)=6),ЧерНд1+40,""))</f>
        <v/>
      </c>
      <c r="P28" s="36" t="str">
        <f ca="1">IF(DAY(ЧерНд1)=1,IF(AND(YEAR(ЧерНд1+34)=КалендарРік,MONTH(ЧерНд1+34)=6),ЧерНд1+34,""),IF(AND(YEAR(ЧерНд1+41)=КалендарРік,MONTH(ЧерНд1+41)=6),ЧерНд1+41,""))</f>
        <v/>
      </c>
      <c r="Q28" s="36" t="str">
        <f ca="1">IF(DAY(ЧерНд1)=1,IF(AND(YEAR(ЧерНд1+35)=КалендарРік,MONTH(ЧерНд1+35)=6),ЧерНд1+35,""),IF(AND(YEAR(ЧерНд1+42)=КалендарРік,MONTH(ЧерНд1+42)=6),ЧерНд1+42,""))</f>
        <v/>
      </c>
      <c r="R28" s="2"/>
      <c r="S28" s="5"/>
      <c r="U28" s="18"/>
      <c r="Z28" s="2"/>
      <c r="AH28" s="2"/>
      <c r="AP28" s="2"/>
    </row>
    <row r="29" spans="1:42" ht="15" customHeight="1" x14ac:dyDescent="0.2">
      <c r="B29" s="2"/>
      <c r="J29" s="20"/>
      <c r="R29" s="2"/>
      <c r="S29" s="5"/>
      <c r="U29" s="11"/>
      <c r="Z29" s="2"/>
      <c r="AH29" s="2"/>
      <c r="AP29" s="2"/>
    </row>
    <row r="30" spans="1:42" ht="15" customHeight="1" x14ac:dyDescent="0.25">
      <c r="B30" s="2"/>
      <c r="C30" s="4" t="s">
        <v>4</v>
      </c>
      <c r="D30" s="3"/>
      <c r="E30" s="3"/>
      <c r="F30" s="3"/>
      <c r="G30" s="3"/>
      <c r="H30" s="3"/>
      <c r="I30" s="3"/>
      <c r="J30" s="20"/>
      <c r="K30" s="4" t="s">
        <v>14</v>
      </c>
      <c r="L30" s="3"/>
      <c r="M30" s="3"/>
      <c r="N30" s="3"/>
      <c r="O30" s="3"/>
      <c r="P30" s="3"/>
      <c r="Q30" s="3"/>
      <c r="S30" s="7"/>
      <c r="U30" s="12"/>
      <c r="V30" s="2"/>
      <c r="W30" s="2"/>
      <c r="X30" s="2"/>
      <c r="Y30" s="2"/>
      <c r="Z30" s="2"/>
      <c r="AH30" s="2"/>
      <c r="AP30" s="2"/>
    </row>
    <row r="31" spans="1:42" ht="15" customHeight="1" x14ac:dyDescent="0.2">
      <c r="C31" s="30" t="s">
        <v>1</v>
      </c>
      <c r="D31" s="35" t="s">
        <v>7</v>
      </c>
      <c r="E31" s="30" t="s">
        <v>9</v>
      </c>
      <c r="F31" s="30" t="s">
        <v>8</v>
      </c>
      <c r="G31" s="35" t="s">
        <v>1</v>
      </c>
      <c r="H31" s="35" t="s">
        <v>9</v>
      </c>
      <c r="I31" s="30" t="s">
        <v>10</v>
      </c>
      <c r="J31" s="20"/>
      <c r="K31" s="31" t="s">
        <v>1</v>
      </c>
      <c r="L31" s="35" t="s">
        <v>7</v>
      </c>
      <c r="M31" s="31" t="s">
        <v>9</v>
      </c>
      <c r="N31" s="31" t="s">
        <v>8</v>
      </c>
      <c r="O31" s="35" t="s">
        <v>1</v>
      </c>
      <c r="P31" s="35" t="s">
        <v>9</v>
      </c>
      <c r="Q31" s="31" t="s">
        <v>10</v>
      </c>
      <c r="S31" s="5"/>
      <c r="U31" s="18"/>
    </row>
    <row r="32" spans="1:42" ht="15" customHeight="1" x14ac:dyDescent="0.2">
      <c r="C32" s="36">
        <f ca="1">IF(DAY(ЛипНд1)=1,"",IF(AND(YEAR(ЛипНд1+1)=КалендарРік,MONTH(ЛипНд1+1)=7),ЛипНд1+1,""))</f>
        <v>43647</v>
      </c>
      <c r="D32" s="36">
        <f ca="1">IF(DAY(ЛипНд1)=1,"",IF(AND(YEAR(ЛипНд1+2)=КалендарРік,MONTH(ЛипНд1+2)=7),ЛипНд1+2,""))</f>
        <v>43648</v>
      </c>
      <c r="E32" s="36">
        <f ca="1">IF(DAY(ЛипНд1)=1,"",IF(AND(YEAR(ЛипНд1+3)=КалендарРік,MONTH(ЛипНд1+3)=7),ЛипНд1+3,""))</f>
        <v>43649</v>
      </c>
      <c r="F32" s="36">
        <f ca="1">IF(DAY(ЛипНд1)=1,"",IF(AND(YEAR(ЛипНд1+4)=КалендарРік,MONTH(ЛипНд1+4)=7),ЛипНд1+4,""))</f>
        <v>43650</v>
      </c>
      <c r="G32" s="36">
        <f ca="1">IF(DAY(ЛипНд1)=1,"",IF(AND(YEAR(ЛипНд1+5)=КалендарРік,MONTH(ЛипНд1+5)=7),ЛипНд1+5,""))</f>
        <v>43651</v>
      </c>
      <c r="H32" s="36">
        <f ca="1">IF(DAY(ЛипНд1)=1,"",IF(AND(YEAR(ЛипНд1+6)=КалендарРік,MONTH(ЛипНд1+6)=7),ЛипНд1+6,""))</f>
        <v>43652</v>
      </c>
      <c r="I32" s="36">
        <f ca="1">IF(DAY(ЛипНд1)=1,IF(AND(YEAR(ЛипНд1)=КалендарРік,MONTH(ЛипНд1)=7),ЛипНд1,""),IF(AND(YEAR(ЛипНд1+7)=КалендарРік,MONTH(ЛипНд1+7)=7),ЛипНд1+7,""))</f>
        <v>43653</v>
      </c>
      <c r="J32" s="21"/>
      <c r="K32" s="36" t="str">
        <f ca="1">IF(DAY(СерНд1)=1,"",IF(AND(YEAR(СерНд1+1)=КалендарРік,MONTH(СерНд1+1)=8),СерНд1+1,""))</f>
        <v/>
      </c>
      <c r="L32" s="36" t="str">
        <f ca="1">IF(DAY(СерНд1)=1,"",IF(AND(YEAR(СерНд1+2)=КалендарРік,MONTH(СерНд1+2)=8),СерНд1+2,""))</f>
        <v/>
      </c>
      <c r="M32" s="36" t="str">
        <f ca="1">IF(DAY(СерНд1)=1,"",IF(AND(YEAR(СерНд1+3)=КалендарРік,MONTH(СерНд1+3)=8),СерНд1+3,""))</f>
        <v/>
      </c>
      <c r="N32" s="36">
        <f ca="1">IF(DAY(СерНд1)=1,"",IF(AND(YEAR(СерНд1+4)=КалендарРік,MONTH(СерНд1+4)=8),СерНд1+4,""))</f>
        <v>43678</v>
      </c>
      <c r="O32" s="36">
        <f ca="1">IF(DAY(СерНд1)=1,"",IF(AND(YEAR(СерНд1+5)=КалендарРік,MONTH(СерНд1+5)=8),СерНд1+5,""))</f>
        <v>43679</v>
      </c>
      <c r="P32" s="36">
        <f ca="1">IF(DAY(СерНд1)=1,"",IF(AND(YEAR(СерНд1+6)=КалендарРік,MONTH(СерНд1+6)=8),СерНд1+6,""))</f>
        <v>43680</v>
      </c>
      <c r="Q32" s="36">
        <f ca="1">IF(DAY(СерНд1)=1,IF(AND(YEAR(СерНд1)=КалендарРік,MONTH(СерНд1)=8),СерНд1,""),IF(AND(YEAR(СерНд1+7)=КалендарРік,MONTH(СерНд1+7)=8),СерНд1+7,""))</f>
        <v>43681</v>
      </c>
      <c r="S32" s="5"/>
      <c r="U32" s="11"/>
    </row>
    <row r="33" spans="3:21" ht="15" customHeight="1" x14ac:dyDescent="0.2">
      <c r="C33" s="36">
        <f ca="1">IF(DAY(ЛипНд1)=1,IF(AND(YEAR(ЛипНд1+1)=КалендарРік,MONTH(ЛипНд1+1)=7),ЛипНд1+1,""),IF(AND(YEAR(ЛипНд1+8)=КалендарРік,MONTH(ЛипНд1+8)=7),ЛипНд1+8,""))</f>
        <v>43654</v>
      </c>
      <c r="D33" s="36">
        <f ca="1">IF(DAY(ЛипНд1)=1,IF(AND(YEAR(ЛипНд1+2)=КалендарРік,MONTH(ЛипНд1+2)=7),ЛипНд1+2,""),IF(AND(YEAR(ЛипНд1+9)=КалендарРік,MONTH(ЛипНд1+9)=7),ЛипНд1+9,""))</f>
        <v>43655</v>
      </c>
      <c r="E33" s="36">
        <f ca="1">IF(DAY(ЛипНд1)=1,IF(AND(YEAR(ЛипНд1+3)=КалендарРік,MONTH(ЛипНд1+3)=7),ЛипНд1+3,""),IF(AND(YEAR(ЛипНд1+10)=КалендарРік,MONTH(ЛипНд1+10)=7),ЛипНд1+10,""))</f>
        <v>43656</v>
      </c>
      <c r="F33" s="36">
        <f ca="1">IF(DAY(ЛипНд1)=1,IF(AND(YEAR(ЛипНд1+4)=КалендарРік,MONTH(ЛипНд1+4)=7),ЛипНд1+4,""),IF(AND(YEAR(ЛипНд1+11)=КалендарРік,MONTH(ЛипНд1+11)=7),ЛипНд1+11,""))</f>
        <v>43657</v>
      </c>
      <c r="G33" s="36">
        <f ca="1">IF(DAY(ЛипНд1)=1,IF(AND(YEAR(ЛипНд1+5)=КалендарРік,MONTH(ЛипНд1+5)=7),ЛипНд1+5,""),IF(AND(YEAR(ЛипНд1+12)=КалендарРік,MONTH(ЛипНд1+12)=7),ЛипНд1+12,""))</f>
        <v>43658</v>
      </c>
      <c r="H33" s="36">
        <f ca="1">IF(DAY(ЛипНд1)=1,IF(AND(YEAR(ЛипНд1+6)=КалендарРік,MONTH(ЛипНд1+6)=7),ЛипНд1+6,""),IF(AND(YEAR(ЛипНд1+13)=КалендарРік,MONTH(ЛипНд1+13)=7),ЛипНд1+13,""))</f>
        <v>43659</v>
      </c>
      <c r="I33" s="36">
        <f ca="1">IF(DAY(ЛипНд1)=1,IF(AND(YEAR(ЛипНд1+7)=КалендарРік,MONTH(ЛипНд1+7)=7),ЛипНд1+7,""),IF(AND(YEAR(ЛипНд1+14)=КалендарРік,MONTH(ЛипНд1+14)=7),ЛипНд1+14,""))</f>
        <v>43660</v>
      </c>
      <c r="J33" s="22"/>
      <c r="K33" s="36">
        <f ca="1">IF(DAY(СерНд1)=1,IF(AND(YEAR(СерНд1+1)=КалендарРік,MONTH(СерНд1+1)=8),СерНд1+1,""),IF(AND(YEAR(СерНд1+8)=КалендарРік,MONTH(СерНд1+8)=8),СерНд1+8,""))</f>
        <v>43682</v>
      </c>
      <c r="L33" s="36">
        <f ca="1">IF(DAY(СерНд1)=1,IF(AND(YEAR(СерНд1+2)=КалендарРік,MONTH(СерНд1+2)=8),СерНд1+2,""),IF(AND(YEAR(СерНд1+9)=КалендарРік,MONTH(СерНд1+9)=8),СерНд1+9,""))</f>
        <v>43683</v>
      </c>
      <c r="M33" s="36">
        <f ca="1">IF(DAY(СерНд1)=1,IF(AND(YEAR(СерНд1+3)=КалендарРік,MONTH(СерНд1+3)=8),СерНд1+3,""),IF(AND(YEAR(СерНд1+10)=КалендарРік,MONTH(СерНд1+10)=8),СерНд1+10,""))</f>
        <v>43684</v>
      </c>
      <c r="N33" s="36">
        <f ca="1">IF(DAY(СерНд1)=1,IF(AND(YEAR(СерНд1+4)=КалендарРік,MONTH(СерНд1+4)=8),СерНд1+4,""),IF(AND(YEAR(СерНд1+11)=КалендарРік,MONTH(СерНд1+11)=8),СерНд1+11,""))</f>
        <v>43685</v>
      </c>
      <c r="O33" s="36">
        <f ca="1">IF(DAY(СерНд1)=1,IF(AND(YEAR(СерНд1+5)=КалендарРік,MONTH(СерНд1+5)=8),СерНд1+5,""),IF(AND(YEAR(СерНд1+12)=КалендарРік,MONTH(СерНд1+12)=8),СерНд1+12,""))</f>
        <v>43686</v>
      </c>
      <c r="P33" s="36">
        <f ca="1">IF(DAY(СерНд1)=1,IF(AND(YEAR(СерНд1+6)=КалендарРік,MONTH(СерНд1+6)=8),СерНд1+6,""),IF(AND(YEAR(СерНд1+13)=КалендарРік,MONTH(СерНд1+13)=8),СерНд1+13,""))</f>
        <v>43687</v>
      </c>
      <c r="Q33" s="36">
        <f ca="1">IF(DAY(СерНд1)=1,IF(AND(YEAR(СерНд1+7)=КалендарРік,MONTH(СерНд1+7)=8),СерНд1+7,""),IF(AND(YEAR(СерНд1+14)=КалендарРік,MONTH(СерНд1+14)=8),СерНд1+14,""))</f>
        <v>43688</v>
      </c>
      <c r="S33" s="5"/>
      <c r="U33" s="12"/>
    </row>
    <row r="34" spans="3:21" ht="15" customHeight="1" x14ac:dyDescent="0.2">
      <c r="C34" s="36">
        <f ca="1">IF(DAY(ЛипНд1)=1,IF(AND(YEAR(ЛипНд1+8)=КалендарРік,MONTH(ЛипНд1+8)=7),ЛипНд1+8,""),IF(AND(YEAR(ЛипНд1+15)=КалендарРік,MONTH(ЛипНд1+15)=7),ЛипНд1+15,""))</f>
        <v>43661</v>
      </c>
      <c r="D34" s="36">
        <f ca="1">IF(DAY(ЛипНд1)=1,IF(AND(YEAR(ЛипНд1+9)=КалендарРік,MONTH(ЛипНд1+9)=7),ЛипНд1+9,""),IF(AND(YEAR(ЛипНд1+16)=КалендарРік,MONTH(ЛипНд1+16)=7),ЛипНд1+16,""))</f>
        <v>43662</v>
      </c>
      <c r="E34" s="36">
        <f ca="1">IF(DAY(ЛипНд1)=1,IF(AND(YEAR(ЛипНд1+10)=КалендарРік,MONTH(ЛипНд1+10)=7),ЛипНд1+10,""),IF(AND(YEAR(ЛипНд1+17)=КалендарРік,MONTH(ЛипНд1+17)=7),ЛипНд1+17,""))</f>
        <v>43663</v>
      </c>
      <c r="F34" s="36">
        <f ca="1">IF(DAY(ЛипНд1)=1,IF(AND(YEAR(ЛипНд1+11)=КалендарРік,MONTH(ЛипНд1+11)=7),ЛипНд1+11,""),IF(AND(YEAR(ЛипНд1+18)=КалендарРік,MONTH(ЛипНд1+18)=7),ЛипНд1+18,""))</f>
        <v>43664</v>
      </c>
      <c r="G34" s="36">
        <f ca="1">IF(DAY(ЛипНд1)=1,IF(AND(YEAR(ЛипНд1+12)=КалендарРік,MONTH(ЛипНд1+12)=7),ЛипНд1+12,""),IF(AND(YEAR(ЛипНд1+19)=КалендарРік,MONTH(ЛипНд1+19)=7),ЛипНд1+19,""))</f>
        <v>43665</v>
      </c>
      <c r="H34" s="36">
        <f ca="1">IF(DAY(ЛипНд1)=1,IF(AND(YEAR(ЛипНд1+13)=КалендарРік,MONTH(ЛипНд1+13)=7),ЛипНд1+13,""),IF(AND(YEAR(ЛипНд1+20)=КалендарРік,MONTH(ЛипНд1+20)=7),ЛипНд1+20,""))</f>
        <v>43666</v>
      </c>
      <c r="I34" s="36">
        <f ca="1">IF(DAY(ЛипНд1)=1,IF(AND(YEAR(ЛипНд1+14)=КалендарРік,MONTH(ЛипНд1+14)=7),ЛипНд1+14,""),IF(AND(YEAR(ЛипНд1+21)=КалендарРік,MONTH(ЛипНд1+21)=7),ЛипНд1+21,""))</f>
        <v>43667</v>
      </c>
      <c r="J34" s="22"/>
      <c r="K34" s="36">
        <f ca="1">IF(DAY(СерНд1)=1,IF(AND(YEAR(СерНд1+8)=КалендарРік,MONTH(СерНд1+8)=8),СерНд1+8,""),IF(AND(YEAR(СерНд1+15)=КалендарРік,MONTH(СерНд1+15)=8),СерНд1+15,""))</f>
        <v>43689</v>
      </c>
      <c r="L34" s="36">
        <f ca="1">IF(DAY(СерНд1)=1,IF(AND(YEAR(СерНд1+9)=КалендарРік,MONTH(СерНд1+9)=8),СерНд1+9,""),IF(AND(YEAR(СерНд1+16)=КалендарРік,MONTH(СерНд1+16)=8),СерНд1+16,""))</f>
        <v>43690</v>
      </c>
      <c r="M34" s="36">
        <f ca="1">IF(DAY(СерНд1)=1,IF(AND(YEAR(СерНд1+10)=КалендарРік,MONTH(СерНд1+10)=8),СерНд1+10,""),IF(AND(YEAR(СерНд1+17)=КалендарРік,MONTH(СерНд1+17)=8),СерНд1+17,""))</f>
        <v>43691</v>
      </c>
      <c r="N34" s="36">
        <f ca="1">IF(DAY(СерНд1)=1,IF(AND(YEAR(СерНд1+11)=КалендарРік,MONTH(СерНд1+11)=8),СерНд1+11,""),IF(AND(YEAR(СерНд1+18)=КалендарРік,MONTH(СерНд1+18)=8),СерНд1+18,""))</f>
        <v>43692</v>
      </c>
      <c r="O34" s="36">
        <f ca="1">IF(DAY(СерНд1)=1,IF(AND(YEAR(СерНд1+12)=КалендарРік,MONTH(СерНд1+12)=8),СерНд1+12,""),IF(AND(YEAR(СерНд1+19)=КалендарРік,MONTH(СерНд1+19)=8),СерНд1+19,""))</f>
        <v>43693</v>
      </c>
      <c r="P34" s="36">
        <f ca="1">IF(DAY(СерНд1)=1,IF(AND(YEAR(СерНд1+13)=КалендарРік,MONTH(СерНд1+13)=8),СерНд1+13,""),IF(AND(YEAR(СерНд1+20)=КалендарРік,MONTH(СерНд1+20)=8),СерНд1+20,""))</f>
        <v>43694</v>
      </c>
      <c r="Q34" s="36">
        <f ca="1">IF(DAY(СерНд1)=1,IF(AND(YEAR(СерНд1+14)=КалендарРік,MONTH(СерНд1+14)=8),СерНд1+14,""),IF(AND(YEAR(СерНд1+21)=КалендарРік,MONTH(СерНд1+21)=8),СерНд1+21,""))</f>
        <v>43695</v>
      </c>
      <c r="S34" s="5"/>
      <c r="U34" s="18"/>
    </row>
    <row r="35" spans="3:21" ht="15" customHeight="1" x14ac:dyDescent="0.2">
      <c r="C35" s="36">
        <f ca="1">IF(DAY(ЛипНд1)=1,IF(AND(YEAR(ЛипНд1+15)=КалендарРік,MONTH(ЛипНд1+15)=7),ЛипНд1+15,""),IF(AND(YEAR(ЛипНд1+22)=КалендарРік,MONTH(ЛипНд1+22)=7),ЛипНд1+22,""))</f>
        <v>43668</v>
      </c>
      <c r="D35" s="36">
        <f ca="1">IF(DAY(ЛипНд1)=1,IF(AND(YEAR(ЛипНд1+16)=КалендарРік,MONTH(ЛипНд1+16)=7),ЛипНд1+16,""),IF(AND(YEAR(ЛипНд1+23)=КалендарРік,MONTH(ЛипНд1+23)=7),ЛипНд1+23,""))</f>
        <v>43669</v>
      </c>
      <c r="E35" s="36">
        <f ca="1">IF(DAY(ЛипНд1)=1,IF(AND(YEAR(ЛипНд1+17)=КалендарРік,MONTH(ЛипНд1+17)=7),ЛипНд1+17,""),IF(AND(YEAR(ЛипНд1+24)=КалендарРік,MONTH(ЛипНд1+24)=7),ЛипНд1+24,""))</f>
        <v>43670</v>
      </c>
      <c r="F35" s="36">
        <f ca="1">IF(DAY(ЛипНд1)=1,IF(AND(YEAR(ЛипНд1+18)=КалендарРік,MONTH(ЛипНд1+18)=7),ЛипНд1+18,""),IF(AND(YEAR(ЛипНд1+25)=КалендарРік,MONTH(ЛипНд1+25)=7),ЛипНд1+25,""))</f>
        <v>43671</v>
      </c>
      <c r="G35" s="36">
        <f ca="1">IF(DAY(ЛипНд1)=1,IF(AND(YEAR(ЛипНд1+19)=КалендарРік,MONTH(ЛипНд1+19)=7),ЛипНд1+19,""),IF(AND(YEAR(ЛипНд1+26)=КалендарРік,MONTH(ЛипНд1+26)=7),ЛипНд1+26,""))</f>
        <v>43672</v>
      </c>
      <c r="H35" s="36">
        <f ca="1">IF(DAY(ЛипНд1)=1,IF(AND(YEAR(ЛипНд1+20)=КалендарРік,MONTH(ЛипНд1+20)=7),ЛипНд1+20,""),IF(AND(YEAR(ЛипНд1+27)=КалендарРік,MONTH(ЛипНд1+27)=7),ЛипНд1+27,""))</f>
        <v>43673</v>
      </c>
      <c r="I35" s="36">
        <f ca="1">IF(DAY(ЛипНд1)=1,IF(AND(YEAR(ЛипНд1+21)=КалендарРік,MONTH(ЛипНд1+21)=7),ЛипНд1+21,""),IF(AND(YEAR(ЛипНд1+28)=КалендарРік,MONTH(ЛипНд1+28)=7),ЛипНд1+28,""))</f>
        <v>43674</v>
      </c>
      <c r="J35" s="22"/>
      <c r="K35" s="36">
        <f ca="1">IF(DAY(СерНд1)=1,IF(AND(YEAR(СерНд1+15)=КалендарРік,MONTH(СерНд1+15)=8),СерНд1+15,""),IF(AND(YEAR(СерНд1+22)=КалендарРік,MONTH(СерНд1+22)=8),СерНд1+22,""))</f>
        <v>43696</v>
      </c>
      <c r="L35" s="36">
        <f ca="1">IF(DAY(СерНд1)=1,IF(AND(YEAR(СерНд1+16)=КалендарРік,MONTH(СерНд1+16)=8),СерНд1+16,""),IF(AND(YEAR(СерНд1+23)=КалендарРік,MONTH(СерНд1+23)=8),СерНд1+23,""))</f>
        <v>43697</v>
      </c>
      <c r="M35" s="36">
        <f ca="1">IF(DAY(СерНд1)=1,IF(AND(YEAR(СерНд1+17)=КалендарРік,MONTH(СерНд1+17)=8),СерНд1+17,""),IF(AND(YEAR(СерНд1+24)=КалендарРік,MONTH(СерНд1+24)=8),СерНд1+24,""))</f>
        <v>43698</v>
      </c>
      <c r="N35" s="36">
        <f ca="1">IF(DAY(СерНд1)=1,IF(AND(YEAR(СерНд1+18)=КалендарРік,MONTH(СерНд1+18)=8),СерНд1+18,""),IF(AND(YEAR(СерНд1+25)=КалендарРік,MONTH(СерНд1+25)=8),СерНд1+25,""))</f>
        <v>43699</v>
      </c>
      <c r="O35" s="36">
        <f ca="1">IF(DAY(СерНд1)=1,IF(AND(YEAR(СерНд1+19)=КалендарРік,MONTH(СерНд1+19)=8),СерНд1+19,""),IF(AND(YEAR(СерНд1+26)=КалендарРік,MONTH(СерНд1+26)=8),СерНд1+26,""))</f>
        <v>43700</v>
      </c>
      <c r="P35" s="36">
        <f ca="1">IF(DAY(СерНд1)=1,IF(AND(YEAR(СерНд1+20)=КалендарРік,MONTH(СерНд1+20)=8),СерНд1+20,""),IF(AND(YEAR(СерНд1+27)=КалендарРік,MONTH(СерНд1+27)=8),СерНд1+27,""))</f>
        <v>43701</v>
      </c>
      <c r="Q35" s="36">
        <f ca="1">IF(DAY(СерНд1)=1,IF(AND(YEAR(СерНд1+21)=КалендарРік,MONTH(СерНд1+21)=8),СерНд1+21,""),IF(AND(YEAR(СерНд1+28)=КалендарРік,MONTH(СерНд1+28)=8),СерНд1+28,""))</f>
        <v>43702</v>
      </c>
      <c r="S35" s="5"/>
      <c r="U35" s="11"/>
    </row>
    <row r="36" spans="3:21" ht="15" customHeight="1" x14ac:dyDescent="0.2">
      <c r="C36" s="36">
        <f ca="1">IF(DAY(ЛипНд1)=1,IF(AND(YEAR(ЛипНд1+22)=КалендарРік,MONTH(ЛипНд1+22)=7),ЛипНд1+22,""),IF(AND(YEAR(ЛипНд1+29)=КалендарРік,MONTH(ЛипНд1+29)=7),ЛипНд1+29,""))</f>
        <v>43675</v>
      </c>
      <c r="D36" s="36">
        <f ca="1">IF(DAY(ЛипНд1)=1,IF(AND(YEAR(ЛипНд1+23)=КалендарРік,MONTH(ЛипНд1+23)=7),ЛипНд1+23,""),IF(AND(YEAR(ЛипНд1+30)=КалендарРік,MONTH(ЛипНд1+30)=7),ЛипНд1+30,""))</f>
        <v>43676</v>
      </c>
      <c r="E36" s="36">
        <f ca="1">IF(DAY(ЛипНд1)=1,IF(AND(YEAR(ЛипНд1+24)=КалендарРік,MONTH(ЛипНд1+24)=7),ЛипНд1+24,""),IF(AND(YEAR(ЛипНд1+31)=КалендарРік,MONTH(ЛипНд1+31)=7),ЛипНд1+31,""))</f>
        <v>43677</v>
      </c>
      <c r="F36" s="36" t="str">
        <f ca="1">IF(DAY(ЛипНд1)=1,IF(AND(YEAR(ЛипНд1+25)=КалендарРік,MONTH(ЛипНд1+25)=7),ЛипНд1+25,""),IF(AND(YEAR(ЛипНд1+32)=КалендарРік,MONTH(ЛипНд1+32)=7),ЛипНд1+32,""))</f>
        <v/>
      </c>
      <c r="G36" s="36" t="str">
        <f ca="1">IF(DAY(ЛипНд1)=1,IF(AND(YEAR(ЛипНд1+26)=КалендарРік,MONTH(ЛипНд1+26)=7),ЛипНд1+26,""),IF(AND(YEAR(ЛипНд1+33)=КалендарРік,MONTH(ЛипНд1+33)=7),ЛипНд1+33,""))</f>
        <v/>
      </c>
      <c r="H36" s="36" t="str">
        <f ca="1">IF(DAY(ЛипНд1)=1,IF(AND(YEAR(ЛипНд1+27)=КалендарРік,MONTH(ЛипНд1+27)=7),ЛипНд1+27,""),IF(AND(YEAR(ЛипНд1+34)=КалендарРік,MONTH(ЛипНд1+34)=7),ЛипНд1+34,""))</f>
        <v/>
      </c>
      <c r="I36" s="36" t="str">
        <f ca="1">IF(DAY(ЛипНд1)=1,IF(AND(YEAR(ЛипНд1+28)=КалендарРік,MONTH(ЛипНд1+28)=7),ЛипНд1+28,""),IF(AND(YEAR(ЛипНд1+35)=КалендарРік,MONTH(ЛипНд1+35)=7),ЛипНд1+35,""))</f>
        <v/>
      </c>
      <c r="J36" s="22"/>
      <c r="K36" s="36">
        <f ca="1">IF(DAY(СерНд1)=1,IF(AND(YEAR(СерНд1+22)=КалендарРік,MONTH(СерНд1+22)=8),СерНд1+22,""),IF(AND(YEAR(СерНд1+29)=КалендарРік,MONTH(СерНд1+29)=8),СерНд1+29,""))</f>
        <v>43703</v>
      </c>
      <c r="L36" s="36">
        <f ca="1">IF(DAY(СерНд1)=1,IF(AND(YEAR(СерНд1+23)=КалендарРік,MONTH(СерНд1+23)=8),СерНд1+23,""),IF(AND(YEAR(СерНд1+30)=КалендарРік,MONTH(СерНд1+30)=8),СерНд1+30,""))</f>
        <v>43704</v>
      </c>
      <c r="M36" s="36">
        <f ca="1">IF(DAY(СерНд1)=1,IF(AND(YEAR(СерНд1+24)=КалендарРік,MONTH(СерНд1+24)=8),СерНд1+24,""),IF(AND(YEAR(СерНд1+31)=КалендарРік,MONTH(СерНд1+31)=8),СерНд1+31,""))</f>
        <v>43705</v>
      </c>
      <c r="N36" s="36">
        <f ca="1">IF(DAY(СерНд1)=1,IF(AND(YEAR(СерНд1+25)=КалендарРік,MONTH(СерНд1+25)=8),СерНд1+25,""),IF(AND(YEAR(СерНд1+32)=КалендарРік,MONTH(СерНд1+32)=8),СерНд1+32,""))</f>
        <v>43706</v>
      </c>
      <c r="O36" s="36">
        <f ca="1">IF(DAY(СерНд1)=1,IF(AND(YEAR(СерНд1+26)=КалендарРік,MONTH(СерНд1+26)=8),СерНд1+26,""),IF(AND(YEAR(СерНд1+33)=КалендарРік,MONTH(СерНд1+33)=8),СерНд1+33,""))</f>
        <v>43707</v>
      </c>
      <c r="P36" s="36">
        <f ca="1">IF(DAY(СерНд1)=1,IF(AND(YEAR(СерНд1+27)=КалендарРік,MONTH(СерНд1+27)=8),СерНд1+27,""),IF(AND(YEAR(СерНд1+34)=КалендарРік,MONTH(СерНд1+34)=8),СерНд1+34,""))</f>
        <v>43708</v>
      </c>
      <c r="Q36" s="36" t="str">
        <f ca="1">IF(DAY(СерНд1)=1,IF(AND(YEAR(СерНд1+28)=КалендарРік,MONTH(СерНд1+28)=8),СерНд1+28,""),IF(AND(YEAR(СерНд1+35)=КалендарРік,MONTH(СерНд1+35)=8),СерНд1+35,""))</f>
        <v/>
      </c>
      <c r="S36" s="5"/>
      <c r="U36" s="12"/>
    </row>
    <row r="37" spans="3:21" ht="15" customHeight="1" x14ac:dyDescent="0.2">
      <c r="C37" s="36" t="str">
        <f ca="1">IF(DAY(ЛипНд1)=1,IF(AND(YEAR(ЛипНд1+29)=КалендарРік,MONTH(ЛипНд1+29)=7),ЛипНд1+29,""),IF(AND(YEAR(ЛипНд1+36)=КалендарРік,MONTH(ЛипНд1+36)=7),ЛипНд1+36,""))</f>
        <v/>
      </c>
      <c r="D37" s="36" t="str">
        <f ca="1">IF(DAY(ЛипНд1)=1,IF(AND(YEAR(ЛипНд1+30)=КалендарРік,MONTH(ЛипНд1+30)=7),ЛипНд1+30,""),IF(AND(YEAR(ЛипНд1+37)=КалендарРік,MONTH(ЛипНд1+37)=7),ЛипНд1+37,""))</f>
        <v/>
      </c>
      <c r="E37" s="36" t="str">
        <f ca="1">IF(DAY(ЛипНд1)=1,IF(AND(YEAR(ЛипНд1+31)=КалендарРік,MONTH(ЛипНд1+31)=7),ЛипНд1+31,""),IF(AND(YEAR(ЛипНд1+38)=КалендарРік,MONTH(ЛипНд1+38)=7),ЛипНд1+38,""))</f>
        <v/>
      </c>
      <c r="F37" s="36" t="str">
        <f ca="1">IF(DAY(ЛипНд1)=1,IF(AND(YEAR(ЛипНд1+32)=КалендарРік,MONTH(ЛипНд1+32)=7),ЛипНд1+32,""),IF(AND(YEAR(ЛипНд1+39)=КалендарРік,MONTH(ЛипНд1+39)=7),ЛипНд1+39,""))</f>
        <v/>
      </c>
      <c r="G37" s="36" t="str">
        <f ca="1">IF(DAY(ЛипНд1)=1,IF(AND(YEAR(ЛипНд1+33)=КалендарРік,MONTH(ЛипНд1+33)=7),ЛипНд1+33,""),IF(AND(YEAR(ЛипНд1+40)=КалендарРік,MONTH(ЛипНд1+40)=7),ЛипНд1+40,""))</f>
        <v/>
      </c>
      <c r="H37" s="36" t="str">
        <f ca="1">IF(DAY(ЛипНд1)=1,IF(AND(YEAR(ЛипНд1+34)=КалендарРік,MONTH(ЛипНд1+34)=7),ЛипНд1+34,""),IF(AND(YEAR(ЛипНд1+41)=КалендарРік,MONTH(ЛипНд1+41)=7),ЛипНд1+41,""))</f>
        <v/>
      </c>
      <c r="I37" s="36" t="str">
        <f ca="1">IF(DAY(ЛипНд1)=1,IF(AND(YEAR(ЛипНд1+35)=КалендарРік,MONTH(ЛипНд1+35)=7),ЛипНд1+35,""),IF(AND(YEAR(ЛипНд1+42)=КалендарРік,MONTH(ЛипНд1+42)=7),ЛипНд1+42,""))</f>
        <v/>
      </c>
      <c r="J37" s="22"/>
      <c r="K37" s="36" t="str">
        <f ca="1">IF(DAY(СерНд1)=1,IF(AND(YEAR(СерНд1+29)=КалендарРік,MONTH(СерНд1+29)=8),СерНд1+29,""),IF(AND(YEAR(СерНд1+36)=КалендарРік,MONTH(СерНд1+36)=8),СерНд1+36,""))</f>
        <v/>
      </c>
      <c r="L37" s="36" t="str">
        <f ca="1">IF(DAY(СерНд1)=1,IF(AND(YEAR(СерНд1+30)=КалендарРік,MONTH(СерНд1+30)=8),СерНд1+30,""),IF(AND(YEAR(СерНд1+37)=КалендарРік,MONTH(СерНд1+37)=8),СерНд1+37,""))</f>
        <v/>
      </c>
      <c r="M37" s="36" t="str">
        <f ca="1">IF(DAY(СерНд1)=1,IF(AND(YEAR(СерНд1+31)=КалендарРік,MONTH(СерНд1+31)=8),СерНд1+31,""),IF(AND(YEAR(СерНд1+38)=КалендарРік,MONTH(СерНд1+38)=8),СерНд1+38,""))</f>
        <v/>
      </c>
      <c r="N37" s="36" t="str">
        <f ca="1">IF(DAY(СерНд1)=1,IF(AND(YEAR(СерНд1+32)=КалендарРік,MONTH(СерНд1+32)=8),СерНд1+32,""),IF(AND(YEAR(СерНд1+39)=КалендарРік,MONTH(СерНд1+39)=8),СерНд1+39,""))</f>
        <v/>
      </c>
      <c r="O37" s="36" t="str">
        <f ca="1">IF(DAY(СерНд1)=1,IF(AND(YEAR(СерНд1+33)=КалендарРік,MONTH(СерНд1+33)=8),СерНд1+33,""),IF(AND(YEAR(СерНд1+40)=КалендарРік,MONTH(СерНд1+40)=8),СерНд1+40,""))</f>
        <v/>
      </c>
      <c r="P37" s="36" t="str">
        <f ca="1">IF(DAY(СерНд1)=1,IF(AND(YEAR(СерНд1+34)=КалендарРік,MONTH(СерНд1+34)=8),СерНд1+34,""),IF(AND(YEAR(СерНд1+41)=КалендарРік,MONTH(СерНд1+41)=8),СерНд1+41,""))</f>
        <v/>
      </c>
      <c r="Q37" s="36" t="str">
        <f ca="1">IF(DAY(СерНд1)=1,IF(AND(YEAR(СерНд1+35)=КалендарРік,MONTH(СерНд1+35)=8),СерНд1+35,""),IF(AND(YEAR(СерНд1+42)=КалендарРік,MONTH(СерНд1+42)=8),СерНд1+42,""))</f>
        <v/>
      </c>
      <c r="S37" s="5"/>
      <c r="U37" s="18"/>
    </row>
    <row r="38" spans="3:21" ht="15" customHeight="1" x14ac:dyDescent="0.2">
      <c r="C38" s="20"/>
      <c r="D38" s="20"/>
      <c r="E38" s="20"/>
      <c r="F38" s="20"/>
      <c r="G38" s="20"/>
      <c r="H38" s="20"/>
      <c r="I38" s="20"/>
      <c r="J38" s="22"/>
      <c r="K38" s="20"/>
      <c r="L38" s="20"/>
      <c r="M38" s="20"/>
      <c r="N38" s="20"/>
      <c r="O38" s="20"/>
      <c r="P38" s="20"/>
      <c r="Q38" s="20"/>
      <c r="R38" s="22"/>
      <c r="S38" s="5"/>
      <c r="U38" s="11"/>
    </row>
    <row r="39" spans="3:21" ht="15" customHeight="1" x14ac:dyDescent="0.25">
      <c r="C39" s="4" t="s">
        <v>5</v>
      </c>
      <c r="D39" s="3"/>
      <c r="E39" s="3"/>
      <c r="F39" s="3"/>
      <c r="G39" s="3"/>
      <c r="H39" s="3"/>
      <c r="I39" s="3"/>
      <c r="J39" s="22"/>
      <c r="K39" s="4" t="s">
        <v>15</v>
      </c>
      <c r="L39" s="3"/>
      <c r="M39" s="3"/>
      <c r="N39" s="3"/>
      <c r="O39" s="3"/>
      <c r="P39" s="3"/>
      <c r="Q39" s="3"/>
      <c r="S39" s="5"/>
      <c r="U39" s="12"/>
    </row>
    <row r="40" spans="3:21" ht="15" customHeight="1" x14ac:dyDescent="0.2">
      <c r="C40" s="32" t="s">
        <v>1</v>
      </c>
      <c r="D40" s="35" t="s">
        <v>7</v>
      </c>
      <c r="E40" s="32" t="s">
        <v>9</v>
      </c>
      <c r="F40" s="32" t="s">
        <v>8</v>
      </c>
      <c r="G40" s="35" t="s">
        <v>1</v>
      </c>
      <c r="H40" s="35" t="s">
        <v>9</v>
      </c>
      <c r="I40" s="32" t="s">
        <v>10</v>
      </c>
      <c r="J40" s="22"/>
      <c r="K40" s="33" t="s">
        <v>1</v>
      </c>
      <c r="L40" s="35" t="s">
        <v>7</v>
      </c>
      <c r="M40" s="33" t="s">
        <v>9</v>
      </c>
      <c r="N40" s="33" t="s">
        <v>8</v>
      </c>
      <c r="O40" s="35" t="s">
        <v>1</v>
      </c>
      <c r="P40" s="35" t="s">
        <v>9</v>
      </c>
      <c r="Q40" s="33" t="s">
        <v>10</v>
      </c>
      <c r="S40" s="5"/>
      <c r="U40" s="18"/>
    </row>
    <row r="41" spans="3:21" ht="15" customHeight="1" x14ac:dyDescent="0.2">
      <c r="C41" s="36" t="str">
        <f ca="1">IF(DAY(ВерНд1)=1,"",IF(AND(YEAR(ВерНд1+1)=КалендарРік,MONTH(ВерНд1+1)=9),ВерНд1+1,""))</f>
        <v/>
      </c>
      <c r="D41" s="36" t="str">
        <f ca="1">IF(DAY(ВерНд1)=1,"",IF(AND(YEAR(ВерНд1+2)=КалендарРік,MONTH(ВерНд1+2)=9),ВерНд1+2,""))</f>
        <v/>
      </c>
      <c r="E41" s="36" t="str">
        <f ca="1">IF(DAY(ВерНд1)=1,"",IF(AND(YEAR(ВерНд1+3)=КалендарРік,MONTH(ВерНд1+3)=9),ВерНд1+3,""))</f>
        <v/>
      </c>
      <c r="F41" s="36" t="str">
        <f ca="1">IF(DAY(ВерНд1)=1,"",IF(AND(YEAR(ВерНд1+4)=КалендарРік,MONTH(ВерНд1+4)=9),ВерНд1+4,""))</f>
        <v/>
      </c>
      <c r="G41" s="36" t="str">
        <f ca="1">IF(DAY(ВерНд1)=1,"",IF(AND(YEAR(ВерНд1+5)=КалендарРік,MONTH(ВерНд1+5)=9),ВерНд1+5,""))</f>
        <v/>
      </c>
      <c r="H41" s="36" t="str">
        <f ca="1">IF(DAY(ВерНд1)=1,"",IF(AND(YEAR(ВерНд1+6)=КалендарРік,MONTH(ВерНд1+6)=9),ВерНд1+6,""))</f>
        <v/>
      </c>
      <c r="I41" s="36">
        <f ca="1">IF(DAY(ВерНд1)=1,IF(AND(YEAR(ВерНд1)=КалендарРік,MONTH(ВерНд1)=9),ВерНд1,""),IF(AND(YEAR(ВерНд1+7)=КалендарРік,MONTH(ВерНд1+7)=9),ВерНд1+7,""))</f>
        <v>43709</v>
      </c>
      <c r="J41" s="22"/>
      <c r="K41" s="36" t="str">
        <f ca="1">IF(DAY(ЖовНд1)=1,"",IF(AND(YEAR(ЖовНд1+1)=КалендарРік,MONTH(ЖовНд1+1)=10),ЖовНд1+1,""))</f>
        <v/>
      </c>
      <c r="L41" s="36">
        <f ca="1">IF(DAY(ЖовНд1)=1,"",IF(AND(YEAR(ЖовНд1+2)=КалендарРік,MONTH(ЖовНд1+2)=10),ЖовНд1+2,""))</f>
        <v>43739</v>
      </c>
      <c r="M41" s="36">
        <f ca="1">IF(DAY(ЖовНд1)=1,"",IF(AND(YEAR(ЖовНд1+3)=КалендарРік,MONTH(ЖовНд1+3)=10),ЖовНд1+3,""))</f>
        <v>43740</v>
      </c>
      <c r="N41" s="36">
        <f ca="1">IF(DAY(ЖовНд1)=1,"",IF(AND(YEAR(ЖовНд1+4)=КалендарРік,MONTH(ЖовНд1+4)=10),ЖовНд1+4,""))</f>
        <v>43741</v>
      </c>
      <c r="O41" s="36">
        <f ca="1">IF(DAY(ЖовНд1)=1,"",IF(AND(YEAR(ЖовНд1+5)=КалендарРік,MONTH(ЖовНд1+5)=10),ЖовНд1+5,""))</f>
        <v>43742</v>
      </c>
      <c r="P41" s="36">
        <f ca="1">IF(DAY(ЖовНд1)=1,"",IF(AND(YEAR(ЖовНд1+6)=КалендарРік,MONTH(ЖовНд1+6)=10),ЖовНд1+6,""))</f>
        <v>43743</v>
      </c>
      <c r="Q41" s="36">
        <f ca="1">IF(DAY(ЖовНд1)=1,IF(AND(YEAR(ЖовНд1)=КалендарРік,MONTH(ЖовНд1)=10),ЖовНд1,""),IF(AND(YEAR(ЖовНд1+7)=КалендарРік,MONTH(ЖовНд1+7)=10),ЖовНд1+7,""))</f>
        <v>43744</v>
      </c>
      <c r="S41" s="5"/>
      <c r="U41" s="11"/>
    </row>
    <row r="42" spans="3:21" ht="15" customHeight="1" x14ac:dyDescent="0.2">
      <c r="C42" s="36">
        <f ca="1">IF(DAY(ВерНд1)=1,IF(AND(YEAR(ВерНд1+1)=КалендарРік,MONTH(ВерНд1+1)=9),ВерНд1+1,""),IF(AND(YEAR(ВерНд1+8)=КалендарРік,MONTH(ВерНд1+8)=9),ВерНд1+8,""))</f>
        <v>43710</v>
      </c>
      <c r="D42" s="36">
        <f ca="1">IF(DAY(ВерНд1)=1,IF(AND(YEAR(ВерНд1+2)=КалендарРік,MONTH(ВерНд1+2)=9),ВерНд1+2,""),IF(AND(YEAR(ВерНд1+9)=КалендарРік,MONTH(ВерНд1+9)=9),ВерНд1+9,""))</f>
        <v>43711</v>
      </c>
      <c r="E42" s="36">
        <f ca="1">IF(DAY(ВерНд1)=1,IF(AND(YEAR(ВерНд1+3)=КалендарРік,MONTH(ВерНд1+3)=9),ВерНд1+3,""),IF(AND(YEAR(ВерНд1+10)=КалендарРік,MONTH(ВерНд1+10)=9),ВерНд1+10,""))</f>
        <v>43712</v>
      </c>
      <c r="F42" s="36">
        <f ca="1">IF(DAY(ВерНд1)=1,IF(AND(YEAR(ВерНд1+4)=КалендарРік,MONTH(ВерНд1+4)=9),ВерНд1+4,""),IF(AND(YEAR(ВерНд1+11)=КалендарРік,MONTH(ВерНд1+11)=9),ВерНд1+11,""))</f>
        <v>43713</v>
      </c>
      <c r="G42" s="36">
        <f ca="1">IF(DAY(ВерНд1)=1,IF(AND(YEAR(ВерНд1+5)=КалендарРік,MONTH(ВерНд1+5)=9),ВерНд1+5,""),IF(AND(YEAR(ВерНд1+12)=КалендарРік,MONTH(ВерНд1+12)=9),ВерНд1+12,""))</f>
        <v>43714</v>
      </c>
      <c r="H42" s="36">
        <f ca="1">IF(DAY(ВерНд1)=1,IF(AND(YEAR(ВерНд1+6)=КалендарРік,MONTH(ВерНд1+6)=9),ВерНд1+6,""),IF(AND(YEAR(ВерНд1+13)=КалендарРік,MONTH(ВерНд1+13)=9),ВерНд1+13,""))</f>
        <v>43715</v>
      </c>
      <c r="I42" s="36">
        <f ca="1">IF(DAY(ВерНд1)=1,IF(AND(YEAR(ВерНд1+7)=КалендарРік,MONTH(ВерНд1+7)=9),ВерНд1+7,""),IF(AND(YEAR(ВерНд1+14)=КалендарРік,MONTH(ВерНд1+14)=9),ВерНд1+14,""))</f>
        <v>43716</v>
      </c>
      <c r="J42" s="22"/>
      <c r="K42" s="36">
        <f ca="1">IF(DAY(ЖовНд1)=1,IF(AND(YEAR(ЖовНд1+1)=КалендарРік,MONTH(ЖовНд1+1)=10),ЖовНд1+1,""),IF(AND(YEAR(ЖовНд1+8)=КалендарРік,MONTH(ЖовНд1+8)=10),ЖовНд1+8,""))</f>
        <v>43745</v>
      </c>
      <c r="L42" s="36">
        <f ca="1">IF(DAY(ЖовНд1)=1,IF(AND(YEAR(ЖовНд1+2)=КалендарРік,MONTH(ЖовНд1+2)=10),ЖовНд1+2,""),IF(AND(YEAR(ЖовНд1+9)=КалендарРік,MONTH(ЖовНд1+9)=10),ЖовНд1+9,""))</f>
        <v>43746</v>
      </c>
      <c r="M42" s="36">
        <f ca="1">IF(DAY(ЖовНд1)=1,IF(AND(YEAR(ЖовНд1+3)=КалендарРік,MONTH(ЖовНд1+3)=10),ЖовНд1+3,""),IF(AND(YEAR(ЖовНд1+10)=КалендарРік,MONTH(ЖовНд1+10)=10),ЖовНд1+10,""))</f>
        <v>43747</v>
      </c>
      <c r="N42" s="36">
        <f ca="1">IF(DAY(ЖовНд1)=1,IF(AND(YEAR(ЖовНд1+4)=КалендарРік,MONTH(ЖовНд1+4)=10),ЖовНд1+4,""),IF(AND(YEAR(ЖовНд1+11)=КалендарРік,MONTH(ЖовНд1+11)=10),ЖовНд1+11,""))</f>
        <v>43748</v>
      </c>
      <c r="O42" s="36">
        <f ca="1">IF(DAY(ЖовНд1)=1,IF(AND(YEAR(ЖовНд1+5)=КалендарРік,MONTH(ЖовНд1+5)=10),ЖовНд1+5,""),IF(AND(YEAR(ЖовНд1+12)=КалендарРік,MONTH(ЖовНд1+12)=10),ЖовНд1+12,""))</f>
        <v>43749</v>
      </c>
      <c r="P42" s="36">
        <f ca="1">IF(DAY(ЖовНд1)=1,IF(AND(YEAR(ЖовНд1+6)=КалендарРік,MONTH(ЖовНд1+6)=10),ЖовНд1+6,""),IF(AND(YEAR(ЖовНд1+13)=КалендарРік,MONTH(ЖовНд1+13)=10),ЖовНд1+13,""))</f>
        <v>43750</v>
      </c>
      <c r="Q42" s="36">
        <f ca="1">IF(DAY(ЖовНд1)=1,IF(AND(YEAR(ЖовНд1+7)=КалендарРік,MONTH(ЖовНд1+7)=10),ЖовНд1+7,""),IF(AND(YEAR(ЖовНд1+14)=КалендарРік,MONTH(ЖовНд1+14)=10),ЖовНд1+14,""))</f>
        <v>43751</v>
      </c>
      <c r="S42" s="5"/>
      <c r="U42" s="11"/>
    </row>
    <row r="43" spans="3:21" ht="15" customHeight="1" x14ac:dyDescent="0.2">
      <c r="C43" s="36">
        <f ca="1">IF(DAY(ВерНд1)=1,IF(AND(YEAR(ВерНд1+8)=КалендарРік,MONTH(ВерНд1+8)=9),ВерНд1+8,""),IF(AND(YEAR(ВерНд1+15)=КалендарРік,MONTH(ВерНд1+15)=9),ВерНд1+15,""))</f>
        <v>43717</v>
      </c>
      <c r="D43" s="36">
        <f ca="1">IF(DAY(ВерНд1)=1,IF(AND(YEAR(ВерНд1+9)=КалендарРік,MONTH(ВерНд1+9)=9),ВерНд1+9,""),IF(AND(YEAR(ВерНд1+16)=КалендарРік,MONTH(ВерНд1+16)=9),ВерНд1+16,""))</f>
        <v>43718</v>
      </c>
      <c r="E43" s="36">
        <f ca="1">IF(DAY(ВерНд1)=1,IF(AND(YEAR(ВерНд1+10)=КалендарРік,MONTH(ВерНд1+10)=9),ВерНд1+10,""),IF(AND(YEAR(ВерНд1+17)=КалендарРік,MONTH(ВерНд1+17)=9),ВерНд1+17,""))</f>
        <v>43719</v>
      </c>
      <c r="F43" s="36">
        <f ca="1">IF(DAY(ВерНд1)=1,IF(AND(YEAR(ВерНд1+11)=КалендарРік,MONTH(ВерНд1+11)=9),ВерНд1+11,""),IF(AND(YEAR(ВерНд1+18)=КалендарРік,MONTH(ВерНд1+18)=9),ВерНд1+18,""))</f>
        <v>43720</v>
      </c>
      <c r="G43" s="36">
        <f ca="1">IF(DAY(ВерНд1)=1,IF(AND(YEAR(ВерНд1+12)=КалендарРік,MONTH(ВерНд1+12)=9),ВерНд1+12,""),IF(AND(YEAR(ВерНд1+19)=КалендарРік,MONTH(ВерНд1+19)=9),ВерНд1+19,""))</f>
        <v>43721</v>
      </c>
      <c r="H43" s="36">
        <f ca="1">IF(DAY(ВерНд1)=1,IF(AND(YEAR(ВерНд1+13)=КалендарРік,MONTH(ВерНд1+13)=9),ВерНд1+13,""),IF(AND(YEAR(ВерНд1+20)=КалендарРік,MONTH(ВерНд1+20)=9),ВерНд1+20,""))</f>
        <v>43722</v>
      </c>
      <c r="I43" s="36">
        <f ca="1">IF(DAY(ВерНд1)=1,IF(AND(YEAR(ВерНд1+14)=КалендарРік,MONTH(ВерНд1+14)=9),ВерНд1+14,""),IF(AND(YEAR(ВерНд1+21)=КалендарРік,MONTH(ВерНд1+21)=9),ВерНд1+21,""))</f>
        <v>43723</v>
      </c>
      <c r="J43" s="22"/>
      <c r="K43" s="36">
        <f ca="1">IF(DAY(ЖовНд1)=1,IF(AND(YEAR(ЖовНд1+8)=КалендарРік,MONTH(ЖовНд1+8)=10),ЖовНд1+8,""),IF(AND(YEAR(ЖовНд1+15)=КалендарРік,MONTH(ЖовНд1+15)=10),ЖовНд1+15,""))</f>
        <v>43752</v>
      </c>
      <c r="L43" s="36">
        <f ca="1">IF(DAY(ЖовНд1)=1,IF(AND(YEAR(ЖовНд1+9)=КалендарРік,MONTH(ЖовНд1+9)=10),ЖовНд1+9,""),IF(AND(YEAR(ЖовНд1+16)=КалендарРік,MONTH(ЖовНд1+16)=10),ЖовНд1+16,""))</f>
        <v>43753</v>
      </c>
      <c r="M43" s="36">
        <f ca="1">IF(DAY(ЖовНд1)=1,IF(AND(YEAR(ЖовНд1+10)=КалендарРік,MONTH(ЖовНд1+10)=10),ЖовНд1+10,""),IF(AND(YEAR(ЖовНд1+17)=КалендарРік,MONTH(ЖовНд1+17)=10),ЖовНд1+17,""))</f>
        <v>43754</v>
      </c>
      <c r="N43" s="36">
        <f ca="1">IF(DAY(ЖовНд1)=1,IF(AND(YEAR(ЖовНд1+11)=КалендарРік,MONTH(ЖовНд1+11)=10),ЖовНд1+11,""),IF(AND(YEAR(ЖовНд1+18)=КалендарРік,MONTH(ЖовНд1+18)=10),ЖовНд1+18,""))</f>
        <v>43755</v>
      </c>
      <c r="O43" s="36">
        <f ca="1">IF(DAY(ЖовНд1)=1,IF(AND(YEAR(ЖовНд1+12)=КалендарРік,MONTH(ЖовНд1+12)=10),ЖовНд1+12,""),IF(AND(YEAR(ЖовНд1+19)=КалендарРік,MONTH(ЖовНд1+19)=10),ЖовНд1+19,""))</f>
        <v>43756</v>
      </c>
      <c r="P43" s="36">
        <f ca="1">IF(DAY(ЖовНд1)=1,IF(AND(YEAR(ЖовНд1+13)=КалендарРік,MONTH(ЖовНд1+13)=10),ЖовНд1+13,""),IF(AND(YEAR(ЖовНд1+20)=КалендарРік,MONTH(ЖовНд1+20)=10),ЖовНд1+20,""))</f>
        <v>43757</v>
      </c>
      <c r="Q43" s="36">
        <f ca="1">IF(DAY(ЖовНд1)=1,IF(AND(YEAR(ЖовНд1+14)=КалендарРік,MONTH(ЖовНд1+14)=10),ЖовНд1+14,""),IF(AND(YEAR(ЖовНд1+21)=КалендарРік,MONTH(ЖовНд1+21)=10),ЖовНд1+21,""))</f>
        <v>43758</v>
      </c>
      <c r="S43" s="5"/>
      <c r="U43" s="18"/>
    </row>
    <row r="44" spans="3:21" ht="15" customHeight="1" x14ac:dyDescent="0.2">
      <c r="C44" s="36">
        <f ca="1">IF(DAY(ВерНд1)=1,IF(AND(YEAR(ВерНд1+15)=КалендарРік,MONTH(ВерНд1+15)=9),ВерНд1+15,""),IF(AND(YEAR(ВерНд1+22)=КалендарРік,MONTH(ВерНд1+22)=9),ВерНд1+22,""))</f>
        <v>43724</v>
      </c>
      <c r="D44" s="36">
        <f ca="1">IF(DAY(ВерНд1)=1,IF(AND(YEAR(ВерНд1+16)=КалендарРік,MONTH(ВерНд1+16)=9),ВерНд1+16,""),IF(AND(YEAR(ВерНд1+23)=КалендарРік,MONTH(ВерНд1+23)=9),ВерНд1+23,""))</f>
        <v>43725</v>
      </c>
      <c r="E44" s="36">
        <f ca="1">IF(DAY(ВерНд1)=1,IF(AND(YEAR(ВерНд1+17)=КалендарРік,MONTH(ВерНд1+17)=9),ВерНд1+17,""),IF(AND(YEAR(ВерНд1+24)=КалендарРік,MONTH(ВерНд1+24)=9),ВерНд1+24,""))</f>
        <v>43726</v>
      </c>
      <c r="F44" s="36">
        <f ca="1">IF(DAY(ВерНд1)=1,IF(AND(YEAR(ВерНд1+18)=КалендарРік,MONTH(ВерНд1+18)=9),ВерНд1+18,""),IF(AND(YEAR(ВерНд1+25)=КалендарРік,MONTH(ВерНд1+25)=9),ВерНд1+25,""))</f>
        <v>43727</v>
      </c>
      <c r="G44" s="36">
        <f ca="1">IF(DAY(ВерНд1)=1,IF(AND(YEAR(ВерНд1+19)=КалендарРік,MONTH(ВерНд1+19)=9),ВерНд1+19,""),IF(AND(YEAR(ВерНд1+26)=КалендарРік,MONTH(ВерНд1+26)=9),ВерНд1+26,""))</f>
        <v>43728</v>
      </c>
      <c r="H44" s="36">
        <f ca="1">IF(DAY(ВерНд1)=1,IF(AND(YEAR(ВерНд1+20)=КалендарРік,MONTH(ВерНд1+20)=9),ВерНд1+20,""),IF(AND(YEAR(ВерНд1+27)=КалендарРік,MONTH(ВерНд1+27)=9),ВерНд1+27,""))</f>
        <v>43729</v>
      </c>
      <c r="I44" s="36">
        <f ca="1">IF(DAY(ВерНд1)=1,IF(AND(YEAR(ВерНд1+21)=КалендарРік,MONTH(ВерНд1+21)=9),ВерНд1+21,""),IF(AND(YEAR(ВерНд1+28)=КалендарРік,MONTH(ВерНд1+28)=9),ВерНд1+28,""))</f>
        <v>43730</v>
      </c>
      <c r="J44" s="22"/>
      <c r="K44" s="36">
        <f ca="1">IF(DAY(ЖовНд1)=1,IF(AND(YEAR(ЖовНд1+15)=КалендарРік,MONTH(ЖовНд1+15)=10),ЖовНд1+15,""),IF(AND(YEAR(ЖовНд1+22)=КалендарРік,MONTH(ЖовНд1+22)=10),ЖовНд1+22,""))</f>
        <v>43759</v>
      </c>
      <c r="L44" s="36">
        <f ca="1">IF(DAY(ЖовНд1)=1,IF(AND(YEAR(ЖовНд1+16)=КалендарРік,MONTH(ЖовНд1+16)=10),ЖовНд1+16,""),IF(AND(YEAR(ЖовНд1+23)=КалендарРік,MONTH(ЖовНд1+23)=10),ЖовНд1+23,""))</f>
        <v>43760</v>
      </c>
      <c r="M44" s="36">
        <f ca="1">IF(DAY(ЖовНд1)=1,IF(AND(YEAR(ЖовНд1+17)=КалендарРік,MONTH(ЖовНд1+17)=10),ЖовНд1+17,""),IF(AND(YEAR(ЖовНд1+24)=КалендарРік,MONTH(ЖовНд1+24)=10),ЖовНд1+24,""))</f>
        <v>43761</v>
      </c>
      <c r="N44" s="36">
        <f ca="1">IF(DAY(ЖовНд1)=1,IF(AND(YEAR(ЖовНд1+18)=КалендарРік,MONTH(ЖовНд1+18)=10),ЖовНд1+18,""),IF(AND(YEAR(ЖовНд1+25)=КалендарРік,MONTH(ЖовНд1+25)=10),ЖовНд1+25,""))</f>
        <v>43762</v>
      </c>
      <c r="O44" s="36">
        <f ca="1">IF(DAY(ЖовНд1)=1,IF(AND(YEAR(ЖовНд1+19)=КалендарРік,MONTH(ЖовНд1+19)=10),ЖовНд1+19,""),IF(AND(YEAR(ЖовНд1+26)=КалендарРік,MONTH(ЖовНд1+26)=10),ЖовНд1+26,""))</f>
        <v>43763</v>
      </c>
      <c r="P44" s="36">
        <f ca="1">IF(DAY(ЖовНд1)=1,IF(AND(YEAR(ЖовНд1+20)=КалендарРік,MONTH(ЖовНд1+20)=10),ЖовНд1+20,""),IF(AND(YEAR(ЖовНд1+27)=КалендарРік,MONTH(ЖовНд1+27)=10),ЖовНд1+27,""))</f>
        <v>43764</v>
      </c>
      <c r="Q44" s="36">
        <f ca="1">IF(DAY(ЖовНд1)=1,IF(AND(YEAR(ЖовНд1+21)=КалендарРік,MONTH(ЖовНд1+21)=10),ЖовНд1+21,""),IF(AND(YEAR(ЖовНд1+28)=КалендарРік,MONTH(ЖовНд1+28)=10),ЖовНд1+28,""))</f>
        <v>43765</v>
      </c>
      <c r="S44" s="5"/>
      <c r="U44" s="17" t="s">
        <v>24</v>
      </c>
    </row>
    <row r="45" spans="3:21" ht="15" customHeight="1" x14ac:dyDescent="0.2">
      <c r="C45" s="36">
        <f ca="1">IF(DAY(ВерНд1)=1,IF(AND(YEAR(ВерНд1+22)=КалендарРік,MONTH(ВерНд1+22)=9),ВерНд1+22,""),IF(AND(YEAR(ВерНд1+29)=КалендарРік,MONTH(ВерНд1+29)=9),ВерНд1+29,""))</f>
        <v>43731</v>
      </c>
      <c r="D45" s="36">
        <f ca="1">IF(DAY(ВерНд1)=1,IF(AND(YEAR(ВерНд1+23)=КалендарРік,MONTH(ВерНд1+23)=9),ВерНд1+23,""),IF(AND(YEAR(ВерНд1+30)=КалендарРік,MONTH(ВерНд1+30)=9),ВерНд1+30,""))</f>
        <v>43732</v>
      </c>
      <c r="E45" s="36">
        <f ca="1">IF(DAY(ВерНд1)=1,IF(AND(YEAR(ВерНд1+24)=КалендарРік,MONTH(ВерНд1+24)=9),ВерНд1+24,""),IF(AND(YEAR(ВерНд1+31)=КалендарРік,MONTH(ВерНд1+31)=9),ВерНд1+31,""))</f>
        <v>43733</v>
      </c>
      <c r="F45" s="36">
        <f ca="1">IF(DAY(ВерНд1)=1,IF(AND(YEAR(ВерНд1+25)=КалендарРік,MONTH(ВерНд1+25)=9),ВерНд1+25,""),IF(AND(YEAR(ВерНд1+32)=КалендарРік,MONTH(ВерНд1+32)=9),ВерНд1+32,""))</f>
        <v>43734</v>
      </c>
      <c r="G45" s="36">
        <f ca="1">IF(DAY(ВерНд1)=1,IF(AND(YEAR(ВерНд1+26)=КалендарРік,MONTH(ВерНд1+26)=9),ВерНд1+26,""),IF(AND(YEAR(ВерНд1+33)=КалендарРік,MONTH(ВерНд1+33)=9),ВерНд1+33,""))</f>
        <v>43735</v>
      </c>
      <c r="H45" s="36">
        <f ca="1">IF(DAY(ВерНд1)=1,IF(AND(YEAR(ВерНд1+27)=КалендарРік,MONTH(ВерНд1+27)=9),ВерНд1+27,""),IF(AND(YEAR(ВерНд1+34)=КалендарРік,MONTH(ВерНд1+34)=9),ВерНд1+34,""))</f>
        <v>43736</v>
      </c>
      <c r="I45" s="36">
        <f ca="1">IF(DAY(ВерНд1)=1,IF(AND(YEAR(ВерНд1+28)=КалендарРік,MONTH(ВерНд1+28)=9),ВерНд1+28,""),IF(AND(YEAR(ВерНд1+35)=КалендарРік,MONTH(ВерНд1+35)=9),ВерНд1+35,""))</f>
        <v>43737</v>
      </c>
      <c r="J45" s="22"/>
      <c r="K45" s="36">
        <f ca="1">IF(DAY(ЖовНд1)=1,IF(AND(YEAR(ЖовНд1+22)=КалендарРік,MONTH(ЖовНд1+22)=10),ЖовНд1+22,""),IF(AND(YEAR(ЖовНд1+29)=КалендарРік,MONTH(ЖовНд1+29)=10),ЖовНд1+29,""))</f>
        <v>43766</v>
      </c>
      <c r="L45" s="36">
        <f ca="1">IF(DAY(ЖовНд1)=1,IF(AND(YEAR(ЖовНд1+23)=КалендарРік,MONTH(ЖовНд1+23)=10),ЖовНд1+23,""),IF(AND(YEAR(ЖовНд1+30)=КалендарРік,MONTH(ЖовНд1+30)=10),ЖовНд1+30,""))</f>
        <v>43767</v>
      </c>
      <c r="M45" s="36">
        <f ca="1">IF(DAY(ЖовНд1)=1,IF(AND(YEAR(ЖовНд1+24)=КалендарРік,MONTH(ЖовНд1+24)=10),ЖовНд1+24,""),IF(AND(YEAR(ЖовНд1+31)=КалендарРік,MONTH(ЖовНд1+31)=10),ЖовНд1+31,""))</f>
        <v>43768</v>
      </c>
      <c r="N45" s="36">
        <f ca="1">IF(DAY(ЖовНд1)=1,IF(AND(YEAR(ЖовНд1+25)=КалендарРік,MONTH(ЖовНд1+25)=10),ЖовНд1+25,""),IF(AND(YEAR(ЖовНд1+32)=КалендарРік,MONTH(ЖовНд1+32)=10),ЖовНд1+32,""))</f>
        <v>43769</v>
      </c>
      <c r="O45" s="36" t="str">
        <f ca="1">IF(DAY(ЖовНд1)=1,IF(AND(YEAR(ЖовНд1+26)=КалендарРік,MONTH(ЖовНд1+26)=10),ЖовНд1+26,""),IF(AND(YEAR(ЖовНд1+33)=КалендарРік,MONTH(ЖовНд1+33)=10),ЖовНд1+33,""))</f>
        <v/>
      </c>
      <c r="P45" s="36" t="str">
        <f ca="1">IF(DAY(ЖовНд1)=1,IF(AND(YEAR(ЖовНд1+27)=КалендарРік,MONTH(ЖовНд1+27)=10),ЖовНд1+27,""),IF(AND(YEAR(ЖовНд1+34)=КалендарРік,MONTH(ЖовНд1+34)=10),ЖовНд1+34,""))</f>
        <v/>
      </c>
      <c r="Q45" s="36" t="str">
        <f ca="1">IF(DAY(ЖовНд1)=1,IF(AND(YEAR(ЖовНд1+28)=КалендарРік,MONTH(ЖовНд1+28)=10),ЖовНд1+28,""),IF(AND(YEAR(ЖовНд1+35)=КалендарРік,MONTH(ЖовНд1+35)=10),ЖовНд1+35,""))</f>
        <v/>
      </c>
      <c r="S45" s="5"/>
      <c r="U45" s="10" t="s">
        <v>25</v>
      </c>
    </row>
    <row r="46" spans="3:21" ht="15" customHeight="1" x14ac:dyDescent="0.2">
      <c r="C46" s="36">
        <f ca="1">IF(DAY(ВерНд1)=1,IF(AND(YEAR(ВерНд1+29)=КалендарРік,MONTH(ВерНд1+29)=9),ВерНд1+29,""),IF(AND(YEAR(ВерНд1+36)=КалендарРік,MONTH(ВерНд1+36)=9),ВерНд1+36,""))</f>
        <v>43738</v>
      </c>
      <c r="D46" s="36" t="str">
        <f ca="1">IF(DAY(ВерНд1)=1,IF(AND(YEAR(ВерНд1+30)=КалендарРік,MONTH(ВерНд1+30)=9),ВерНд1+30,""),IF(AND(YEAR(ВерНд1+37)=КалендарРік,MONTH(ВерНд1+37)=9),ВерНд1+37,""))</f>
        <v/>
      </c>
      <c r="E46" s="36" t="str">
        <f ca="1">IF(DAY(ВерНд1)=1,IF(AND(YEAR(ВерНд1+31)=КалендарРік,MONTH(ВерНд1+31)=9),ВерНд1+31,""),IF(AND(YEAR(ВерНд1+38)=КалендарРік,MONTH(ВерНд1+38)=9),ВерНд1+38,""))</f>
        <v/>
      </c>
      <c r="F46" s="36" t="str">
        <f ca="1">IF(DAY(ВерНд1)=1,IF(AND(YEAR(ВерНд1+32)=КалендарРік,MONTH(ВерНд1+32)=9),ВерНд1+32,""),IF(AND(YEAR(ВерНд1+39)=КалендарРік,MONTH(ВерНд1+39)=9),ВерНд1+39,""))</f>
        <v/>
      </c>
      <c r="G46" s="36" t="str">
        <f ca="1">IF(DAY(ВерНд1)=1,IF(AND(YEAR(ВерНд1+33)=КалендарРік,MONTH(ВерНд1+33)=9),ВерНд1+33,""),IF(AND(YEAR(ВерНд1+40)=КалендарРік,MONTH(ВерНд1+40)=9),ВерНд1+40,""))</f>
        <v/>
      </c>
      <c r="H46" s="36" t="str">
        <f ca="1">IF(DAY(ВерНд1)=1,IF(AND(YEAR(ВерНд1+34)=КалендарРік,MONTH(ВерНд1+34)=9),ВерНд1+34,""),IF(AND(YEAR(ВерНд1+41)=КалендарРік,MONTH(ВерНд1+41)=9),ВерНд1+41,""))</f>
        <v/>
      </c>
      <c r="I46" s="36" t="str">
        <f ca="1">IF(DAY(ВерНд1)=1,IF(AND(YEAR(ВерНд1+35)=КалендарРік,MONTH(ВерНд1+35)=9),ВерНд1+35,""),IF(AND(YEAR(ВерНд1+42)=КалендарРік,MONTH(ВерНд1+42)=9),ВерНд1+42,""))</f>
        <v/>
      </c>
      <c r="J46" s="22"/>
      <c r="K46" s="36" t="str">
        <f ca="1">IF(DAY(ЖовНд1)=1,IF(AND(YEAR(ЖовНд1+29)=КалендарРік,MONTH(ЖовНд1+29)=10),ЖовНд1+29,""),IF(AND(YEAR(ЖовНд1+36)=КалендарРік,MONTH(ЖовНд1+36)=10),ЖовНд1+36,""))</f>
        <v/>
      </c>
      <c r="L46" s="36" t="str">
        <f ca="1">IF(DAY(ЖовНд1)=1,IF(AND(YEAR(ЖовНд1+30)=КалендарРік,MONTH(ЖовНд1+30)=10),ЖовНд1+30,""),IF(AND(YEAR(ЖовНд1+37)=КалендарРік,MONTH(ЖовНд1+37)=10),ЖовНд1+37,""))</f>
        <v/>
      </c>
      <c r="M46" s="36" t="str">
        <f ca="1">IF(DAY(ЖовНд1)=1,IF(AND(YEAR(ЖовНд1+31)=КалендарРік,MONTH(ЖовНд1+31)=10),ЖовНд1+31,""),IF(AND(YEAR(ЖовНд1+38)=КалендарРік,MONTH(ЖовНд1+38)=10),ЖовНд1+38,""))</f>
        <v/>
      </c>
      <c r="N46" s="36" t="str">
        <f ca="1">IF(DAY(ЖовНд1)=1,IF(AND(YEAR(ЖовНд1+32)=КалендарРік,MONTH(ЖовНд1+32)=10),ЖовНд1+32,""),IF(AND(YEAR(ЖовНд1+39)=КалендарРік,MONTH(ЖовНд1+39)=10),ЖовНд1+39,""))</f>
        <v/>
      </c>
      <c r="O46" s="36" t="str">
        <f ca="1">IF(DAY(ЖовНд1)=1,IF(AND(YEAR(ЖовНд1+33)=КалендарРік,MONTH(ЖовНд1+33)=10),ЖовНд1+33,""),IF(AND(YEAR(ЖовНд1+40)=КалендарРік,MONTH(ЖовНд1+40)=10),ЖовНд1+40,""))</f>
        <v/>
      </c>
      <c r="P46" s="36" t="str">
        <f ca="1">IF(DAY(ЖовНд1)=1,IF(AND(YEAR(ЖовНд1+34)=КалендарРік,MONTH(ЖовНд1+34)=10),ЖовНд1+34,""),IF(AND(YEAR(ЖовНд1+41)=КалендарРік,MONTH(ЖовНд1+41)=10),ЖовНд1+41,""))</f>
        <v/>
      </c>
      <c r="Q46" s="36" t="str">
        <f ca="1">IF(DAY(ЖовНд1)=1,IF(AND(YEAR(ЖовНд1+35)=КалендарРік,MONTH(ЖовНд1+35)=10),ЖовНд1+35,""),IF(AND(YEAR(ЖовНд1+42)=КалендарРік,MONTH(ЖовНд1+42)=10),ЖовНд1+42,""))</f>
        <v/>
      </c>
      <c r="S46" s="5"/>
      <c r="U46" s="10"/>
    </row>
    <row r="47" spans="3:21" ht="15" customHeight="1" x14ac:dyDescent="0.2">
      <c r="C47" s="2"/>
      <c r="D47" s="2"/>
      <c r="E47" s="2"/>
      <c r="F47" s="2"/>
      <c r="G47" s="2"/>
      <c r="H47" s="2"/>
      <c r="I47" s="2"/>
      <c r="J47" s="22"/>
      <c r="S47" s="5"/>
      <c r="U47" s="10" t="s">
        <v>26</v>
      </c>
    </row>
    <row r="48" spans="3:21" ht="15" customHeight="1" x14ac:dyDescent="0.25">
      <c r="C48" s="4" t="s">
        <v>6</v>
      </c>
      <c r="D48" s="3"/>
      <c r="E48" s="3"/>
      <c r="F48" s="3"/>
      <c r="G48" s="3"/>
      <c r="H48" s="3"/>
      <c r="I48" s="3"/>
      <c r="J48" s="22"/>
      <c r="K48" s="4" t="s">
        <v>16</v>
      </c>
      <c r="L48" s="3"/>
      <c r="M48" s="3"/>
      <c r="N48" s="3"/>
      <c r="O48" s="3"/>
      <c r="P48" s="3"/>
      <c r="Q48" s="3"/>
      <c r="S48" s="5"/>
      <c r="U48" s="10" t="s">
        <v>27</v>
      </c>
    </row>
    <row r="49" spans="3:21" ht="15" customHeight="1" x14ac:dyDescent="0.2">
      <c r="C49" s="34" t="s">
        <v>1</v>
      </c>
      <c r="D49" s="34" t="s">
        <v>7</v>
      </c>
      <c r="E49" s="34" t="s">
        <v>9</v>
      </c>
      <c r="F49" s="34" t="s">
        <v>8</v>
      </c>
      <c r="G49" s="34" t="s">
        <v>1</v>
      </c>
      <c r="H49" s="35" t="s">
        <v>9</v>
      </c>
      <c r="I49" s="34" t="s">
        <v>10</v>
      </c>
      <c r="J49" s="23"/>
      <c r="K49" s="35" t="s">
        <v>1</v>
      </c>
      <c r="L49" s="35" t="s">
        <v>7</v>
      </c>
      <c r="M49" s="35" t="s">
        <v>9</v>
      </c>
      <c r="N49" s="35" t="s">
        <v>8</v>
      </c>
      <c r="O49" s="35" t="s">
        <v>1</v>
      </c>
      <c r="P49" s="35" t="s">
        <v>9</v>
      </c>
      <c r="Q49" s="35" t="s">
        <v>10</v>
      </c>
      <c r="S49" s="5"/>
      <c r="U49" s="10" t="s">
        <v>28</v>
      </c>
    </row>
    <row r="50" spans="3:21" ht="15" customHeight="1" x14ac:dyDescent="0.2">
      <c r="C50" s="36" t="str">
        <f ca="1">IF(DAY(ЛисНд1)=1,"",IF(AND(YEAR(ЛисНд1+1)=КалендарРік,MONTH(ЛисНд1+1)=11),ЛисНд1+1,""))</f>
        <v/>
      </c>
      <c r="D50" s="36" t="str">
        <f ca="1">IF(DAY(ЛисНд1)=1,"",IF(AND(YEAR(ЛисНд1+2)=КалендарРік,MONTH(ЛисНд1+2)=11),ЛисНд1+2,""))</f>
        <v/>
      </c>
      <c r="E50" s="36" t="str">
        <f ca="1">IF(DAY(ЛисНд1)=1,"",IF(AND(YEAR(ЛисНд1+3)=КалендарРік,MONTH(ЛисНд1+3)=11),ЛисНд1+3,""))</f>
        <v/>
      </c>
      <c r="F50" s="36" t="str">
        <f ca="1">IF(DAY(ЛисНд1)=1,"",IF(AND(YEAR(ЛисНд1+4)=КалендарРік,MONTH(ЛисНд1+4)=11),ЛисНд1+4,""))</f>
        <v/>
      </c>
      <c r="G50" s="36">
        <f ca="1">IF(DAY(ЛисНд1)=1,"",IF(AND(YEAR(ЛисНд1+5)=КалендарРік,MONTH(ЛисНд1+5)=11),ЛисНд1+5,""))</f>
        <v>43770</v>
      </c>
      <c r="H50" s="36">
        <f ca="1">IF(DAY(ЛисНд1)=1,"",IF(AND(YEAR(ЛисНд1+6)=КалендарРік,MONTH(ЛисНд1+6)=11),ЛисНд1+6,""))</f>
        <v>43771</v>
      </c>
      <c r="I50" s="36">
        <f ca="1">IF(DAY(ЛисНд1)=1,IF(AND(YEAR(ЛисНд1)=КалендарРік,MONTH(ЛисНд1)=11),ЛисНд1,""),IF(AND(YEAR(ЛисНд1+7)=КалендарРік,MONTH(ЛисНд1+7)=11),ЛисНд1+7,""))</f>
        <v>43772</v>
      </c>
      <c r="J50" s="22"/>
      <c r="K50" s="36" t="str">
        <f ca="1">IF(DAY(ГруНд1)=1,"",IF(AND(YEAR(ГруНд1+1)=КалендарРік,MONTH(ГруНд1+1)=12),ГруНд1+1,""))</f>
        <v/>
      </c>
      <c r="L50" s="36" t="str">
        <f ca="1">IF(DAY(ГруНд1)=1,"",IF(AND(YEAR(ГруНд1+2)=КалендарРік,MONTH(ГруНд1+2)=12),ГруНд1+2,""))</f>
        <v/>
      </c>
      <c r="M50" s="36" t="str">
        <f ca="1">IF(DAY(ГруНд1)=1,"",IF(AND(YEAR(ГруНд1+3)=КалендарРік,MONTH(ГруНд1+3)=12),ГруНд1+3,""))</f>
        <v/>
      </c>
      <c r="N50" s="36" t="str">
        <f ca="1">IF(DAY(ГруНд1)=1,"",IF(AND(YEAR(ГруНд1+4)=КалендарРік,MONTH(ГруНд1+4)=12),ГруНд1+4,""))</f>
        <v/>
      </c>
      <c r="O50" s="36" t="str">
        <f ca="1">IF(DAY(ГруНд1)=1,"",IF(AND(YEAR(ГруНд1+5)=КалендарРік,MONTH(ГруНд1+5)=12),ГруНд1+5,""))</f>
        <v/>
      </c>
      <c r="P50" s="36" t="str">
        <f ca="1">IF(DAY(ГруНд1)=1,"",IF(AND(YEAR(ГруНд1+6)=КалендарРік,MONTH(ГруНд1+6)=12),ГруНд1+6,""))</f>
        <v/>
      </c>
      <c r="Q50" s="36">
        <f ca="1">IF(DAY(ГруНд1)=1,IF(AND(YEAR(ГруНд1)=КалендарРік,MONTH(ГруНд1)=12),ГруНд1,""),IF(AND(YEAR(ГруНд1+7)=КалендарРік,MONTH(ГруНд1+7)=12),ГруНд1+7,""))</f>
        <v>43800</v>
      </c>
      <c r="S50" s="5"/>
      <c r="U50" s="10"/>
    </row>
    <row r="51" spans="3:21" ht="15" customHeight="1" x14ac:dyDescent="0.2">
      <c r="C51" s="36">
        <f ca="1">IF(DAY(ЛисНд1)=1,IF(AND(YEAR(ЛисНд1+1)=КалендарРік,MONTH(ЛисНд1+1)=11),ЛисНд1+1,""),IF(AND(YEAR(ЛисНд1+8)=КалендарРік,MONTH(ЛисНд1+8)=11),ЛисНд1+8,""))</f>
        <v>43773</v>
      </c>
      <c r="D51" s="36">
        <f ca="1">IF(DAY(ЛисНд1)=1,IF(AND(YEAR(ЛисНд1+2)=КалендарРік,MONTH(ЛисНд1+2)=11),ЛисНд1+2,""),IF(AND(YEAR(ЛисНд1+9)=КалендарРік,MONTH(ЛисНд1+9)=11),ЛисНд1+9,""))</f>
        <v>43774</v>
      </c>
      <c r="E51" s="36">
        <f ca="1">IF(DAY(ЛисНд1)=1,IF(AND(YEAR(ЛисНд1+3)=КалендарРік,MONTH(ЛисНд1+3)=11),ЛисНд1+3,""),IF(AND(YEAR(ЛисНд1+10)=КалендарРік,MONTH(ЛисНд1+10)=11),ЛисНд1+10,""))</f>
        <v>43775</v>
      </c>
      <c r="F51" s="36">
        <f ca="1">IF(DAY(ЛисНд1)=1,IF(AND(YEAR(ЛисНд1+4)=КалендарРік,MONTH(ЛисНд1+4)=11),ЛисНд1+4,""),IF(AND(YEAR(ЛисНд1+11)=КалендарРік,MONTH(ЛисНд1+11)=11),ЛисНд1+11,""))</f>
        <v>43776</v>
      </c>
      <c r="G51" s="36">
        <f ca="1">IF(DAY(ЛисНд1)=1,IF(AND(YEAR(ЛисНд1+5)=КалендарРік,MONTH(ЛисНд1+5)=11),ЛисНд1+5,""),IF(AND(YEAR(ЛисНд1+12)=КалендарРік,MONTH(ЛисНд1+12)=11),ЛисНд1+12,""))</f>
        <v>43777</v>
      </c>
      <c r="H51" s="36">
        <f ca="1">IF(DAY(ЛисНд1)=1,IF(AND(YEAR(ЛисНд1+6)=КалендарРік,MONTH(ЛисНд1+6)=11),ЛисНд1+6,""),IF(AND(YEAR(ЛисНд1+13)=КалендарРік,MONTH(ЛисНд1+13)=11),ЛисНд1+13,""))</f>
        <v>43778</v>
      </c>
      <c r="I51" s="36">
        <f ca="1">IF(DAY(ЛисНд1)=1,IF(AND(YEAR(ЛисНд1+7)=КалендарРік,MONTH(ЛисНд1+7)=11),ЛисНд1+7,""),IF(AND(YEAR(ЛисНд1+14)=КалендарРік,MONTH(ЛисНд1+14)=11),ЛисНд1+14,""))</f>
        <v>43779</v>
      </c>
      <c r="J51" s="22"/>
      <c r="K51" s="36">
        <f ca="1">IF(DAY(ГруНд1)=1,IF(AND(YEAR(ГруНд1+1)=КалендарРік,MONTH(ГруНд1+1)=12),ГруНд1+1,""),IF(AND(YEAR(ГруНд1+8)=КалендарРік,MONTH(ГруНд1+8)=12),ГруНд1+8,""))</f>
        <v>43801</v>
      </c>
      <c r="L51" s="36">
        <f ca="1">IF(DAY(ГруНд1)=1,IF(AND(YEAR(ГруНд1+2)=КалендарРік,MONTH(ГруНд1+2)=12),ГруНд1+2,""),IF(AND(YEAR(ГруНд1+9)=КалендарРік,MONTH(ГруНд1+9)=12),ГруНд1+9,""))</f>
        <v>43802</v>
      </c>
      <c r="M51" s="36">
        <f ca="1">IF(DAY(ГруНд1)=1,IF(AND(YEAR(ГруНд1+3)=КалендарРік,MONTH(ГруНд1+3)=12),ГруНд1+3,""),IF(AND(YEAR(ГруНд1+10)=КалендарРік,MONTH(ГруНд1+10)=12),ГруНд1+10,""))</f>
        <v>43803</v>
      </c>
      <c r="N51" s="36">
        <f ca="1">IF(DAY(ГруНд1)=1,IF(AND(YEAR(ГруНд1+4)=КалендарРік,MONTH(ГруНд1+4)=12),ГруНд1+4,""),IF(AND(YEAR(ГруНд1+11)=КалендарРік,MONTH(ГруНд1+11)=12),ГруНд1+11,""))</f>
        <v>43804</v>
      </c>
      <c r="O51" s="36">
        <f ca="1">IF(DAY(ГруНд1)=1,IF(AND(YEAR(ГруНд1+5)=КалендарРік,MONTH(ГруНд1+5)=12),ГруНд1+5,""),IF(AND(YEAR(ГруНд1+12)=КалендарРік,MONTH(ГруНд1+12)=12),ГруНд1+12,""))</f>
        <v>43805</v>
      </c>
      <c r="P51" s="36">
        <f ca="1">IF(DAY(ГруНд1)=1,IF(AND(YEAR(ГруНд1+6)=КалендарРік,MONTH(ГруНд1+6)=12),ГруНд1+6,""),IF(AND(YEAR(ГруНд1+13)=КалендарРік,MONTH(ГруНд1+13)=12),ГруНд1+13,""))</f>
        <v>43806</v>
      </c>
      <c r="Q51" s="36">
        <f ca="1">IF(DAY(ГруНд1)=1,IF(AND(YEAR(ГруНд1+7)=КалендарРік,MONTH(ГруНд1+7)=12),ГруНд1+7,""),IF(AND(YEAR(ГруНд1+14)=КалендарРік,MONTH(ГруНд1+14)=12),ГруНд1+14,""))</f>
        <v>43807</v>
      </c>
      <c r="S51" s="5"/>
      <c r="U51" s="9"/>
    </row>
    <row r="52" spans="3:21" ht="15" customHeight="1" x14ac:dyDescent="0.2">
      <c r="C52" s="36">
        <f ca="1">IF(DAY(ЛисНд1)=1,IF(AND(YEAR(ЛисНд1+8)=КалендарРік,MONTH(ЛисНд1+8)=11),ЛисНд1+8,""),IF(AND(YEAR(ЛисНд1+15)=КалендарРік,MONTH(ЛисНд1+15)=11),ЛисНд1+15,""))</f>
        <v>43780</v>
      </c>
      <c r="D52" s="36">
        <f ca="1">IF(DAY(ЛисНд1)=1,IF(AND(YEAR(ЛисНд1+9)=КалендарРік,MONTH(ЛисНд1+9)=11),ЛисНд1+9,""),IF(AND(YEAR(ЛисНд1+16)=КалендарРік,MONTH(ЛисНд1+16)=11),ЛисНд1+16,""))</f>
        <v>43781</v>
      </c>
      <c r="E52" s="36">
        <f ca="1">IF(DAY(ЛисНд1)=1,IF(AND(YEAR(ЛисНд1+10)=КалендарРік,MONTH(ЛисНд1+10)=11),ЛисНд1+10,""),IF(AND(YEAR(ЛисНд1+17)=КалендарРік,MONTH(ЛисНд1+17)=11),ЛисНд1+17,""))</f>
        <v>43782</v>
      </c>
      <c r="F52" s="36">
        <f ca="1">IF(DAY(ЛисНд1)=1,IF(AND(YEAR(ЛисНд1+11)=КалендарРік,MONTH(ЛисНд1+11)=11),ЛисНд1+11,""),IF(AND(YEAR(ЛисНд1+18)=КалендарРік,MONTH(ЛисНд1+18)=11),ЛисНд1+18,""))</f>
        <v>43783</v>
      </c>
      <c r="G52" s="36">
        <f ca="1">IF(DAY(ЛисНд1)=1,IF(AND(YEAR(ЛисНд1+12)=КалендарРік,MONTH(ЛисНд1+12)=11),ЛисНд1+12,""),IF(AND(YEAR(ЛисНд1+19)=КалендарРік,MONTH(ЛисНд1+19)=11),ЛисНд1+19,""))</f>
        <v>43784</v>
      </c>
      <c r="H52" s="36">
        <f ca="1">IF(DAY(ЛисНд1)=1,IF(AND(YEAR(ЛисНд1+13)=КалендарРік,MONTH(ЛисНд1+13)=11),ЛисНд1+13,""),IF(AND(YEAR(ЛисНд1+20)=КалендарРік,MONTH(ЛисНд1+20)=11),ЛисНд1+20,""))</f>
        <v>43785</v>
      </c>
      <c r="I52" s="36">
        <f ca="1">IF(DAY(ЛисНд1)=1,IF(AND(YEAR(ЛисНд1+14)=КалендарРік,MONTH(ЛисНд1+14)=11),ЛисНд1+14,""),IF(AND(YEAR(ЛисНд1+21)=КалендарРік,MONTH(ЛисНд1+21)=11),ЛисНд1+21,""))</f>
        <v>43786</v>
      </c>
      <c r="J52" s="22"/>
      <c r="K52" s="36">
        <f ca="1">IF(DAY(ГруНд1)=1,IF(AND(YEAR(ГруНд1+8)=КалендарРік,MONTH(ГруНд1+8)=12),ГруНд1+8,""),IF(AND(YEAR(ГруНд1+15)=КалендарРік,MONTH(ГруНд1+15)=12),ГруНд1+15,""))</f>
        <v>43808</v>
      </c>
      <c r="L52" s="36">
        <f ca="1">IF(DAY(ГруНд1)=1,IF(AND(YEAR(ГруНд1+9)=КалендарРік,MONTH(ГруНд1+9)=12),ГруНд1+9,""),IF(AND(YEAR(ГруНд1+16)=КалендарРік,MONTH(ГруНд1+16)=12),ГруНд1+16,""))</f>
        <v>43809</v>
      </c>
      <c r="M52" s="36">
        <f ca="1">IF(DAY(ГруНд1)=1,IF(AND(YEAR(ГруНд1+10)=КалендарРік,MONTH(ГруНд1+10)=12),ГруНд1+10,""),IF(AND(YEAR(ГруНд1+17)=КалендарРік,MONTH(ГруНд1+17)=12),ГруНд1+17,""))</f>
        <v>43810</v>
      </c>
      <c r="N52" s="36">
        <f ca="1">IF(DAY(ГруНд1)=1,IF(AND(YEAR(ГруНд1+11)=КалендарРік,MONTH(ГруНд1+11)=12),ГруНд1+11,""),IF(AND(YEAR(ГруНд1+18)=КалендарРік,MONTH(ГруНд1+18)=12),ГруНд1+18,""))</f>
        <v>43811</v>
      </c>
      <c r="O52" s="36">
        <f ca="1">IF(DAY(ГруНд1)=1,IF(AND(YEAR(ГруНд1+12)=КалендарРік,MONTH(ГруНд1+12)=12),ГруНд1+12,""),IF(AND(YEAR(ГруНд1+19)=КалендарРік,MONTH(ГруНд1+19)=12),ГруНд1+19,""))</f>
        <v>43812</v>
      </c>
      <c r="P52" s="36">
        <f ca="1">IF(DAY(ГруНд1)=1,IF(AND(YEAR(ГруНд1+13)=КалендарРік,MONTH(ГруНд1+13)=12),ГруНд1+13,""),IF(AND(YEAR(ГруНд1+20)=КалендарРік,MONTH(ГруНд1+20)=12),ГруНд1+20,""))</f>
        <v>43813</v>
      </c>
      <c r="Q52" s="36">
        <f ca="1">IF(DAY(ГруНд1)=1,IF(AND(YEAR(ГруНд1+14)=КалендарРік,MONTH(ГруНд1+14)=12),ГруНд1+14,""),IF(AND(YEAR(ГруНд1+21)=КалендарРік,MONTH(ГруНд1+21)=12),ГруНд1+21,""))</f>
        <v>43814</v>
      </c>
      <c r="S52" s="5"/>
      <c r="U52" s="9"/>
    </row>
    <row r="53" spans="3:21" ht="15" customHeight="1" x14ac:dyDescent="0.2">
      <c r="C53" s="36">
        <f ca="1">IF(DAY(ЛисНд1)=1,IF(AND(YEAR(ЛисНд1+15)=КалендарРік,MONTH(ЛисНд1+15)=11),ЛисНд1+15,""),IF(AND(YEAR(ЛисНд1+22)=КалендарРік,MONTH(ЛисНд1+22)=11),ЛисНд1+22,""))</f>
        <v>43787</v>
      </c>
      <c r="D53" s="36">
        <f ca="1">IF(DAY(ЛисНд1)=1,IF(AND(YEAR(ЛисНд1+16)=КалендарРік,MONTH(ЛисНд1+16)=11),ЛисНд1+16,""),IF(AND(YEAR(ЛисНд1+23)=КалендарРік,MONTH(ЛисНд1+23)=11),ЛисНд1+23,""))</f>
        <v>43788</v>
      </c>
      <c r="E53" s="36">
        <f ca="1">IF(DAY(ЛисНд1)=1,IF(AND(YEAR(ЛисНд1+17)=КалендарРік,MONTH(ЛисНд1+17)=11),ЛисНд1+17,""),IF(AND(YEAR(ЛисНд1+24)=КалендарРік,MONTH(ЛисНд1+24)=11),ЛисНд1+24,""))</f>
        <v>43789</v>
      </c>
      <c r="F53" s="36">
        <f ca="1">IF(DAY(ЛисНд1)=1,IF(AND(YEAR(ЛисНд1+18)=КалендарРік,MONTH(ЛисНд1+18)=11),ЛисНд1+18,""),IF(AND(YEAR(ЛисНд1+25)=КалендарРік,MONTH(ЛисНд1+25)=11),ЛисНд1+25,""))</f>
        <v>43790</v>
      </c>
      <c r="G53" s="36">
        <f ca="1">IF(DAY(ЛисНд1)=1,IF(AND(YEAR(ЛисНд1+19)=КалендарРік,MONTH(ЛисНд1+19)=11),ЛисНд1+19,""),IF(AND(YEAR(ЛисНд1+26)=КалендарРік,MONTH(ЛисНд1+26)=11),ЛисНд1+26,""))</f>
        <v>43791</v>
      </c>
      <c r="H53" s="36">
        <f ca="1">IF(DAY(ЛисНд1)=1,IF(AND(YEAR(ЛисНд1+20)=КалендарРік,MONTH(ЛисНд1+20)=11),ЛисНд1+20,""),IF(AND(YEAR(ЛисНд1+27)=КалендарРік,MONTH(ЛисНд1+27)=11),ЛисНд1+27,""))</f>
        <v>43792</v>
      </c>
      <c r="I53" s="36">
        <f ca="1">IF(DAY(ЛисНд1)=1,IF(AND(YEAR(ЛисНд1+21)=КалендарРік,MONTH(ЛисНд1+21)=11),ЛисНд1+21,""),IF(AND(YEAR(ЛисНд1+28)=КалендарРік,MONTH(ЛисНд1+28)=11),ЛисНд1+28,""))</f>
        <v>43793</v>
      </c>
      <c r="J53" s="22"/>
      <c r="K53" s="36">
        <f ca="1">IF(DAY(ГруНд1)=1,IF(AND(YEAR(ГруНд1+15)=КалендарРік,MONTH(ГруНд1+15)=12),ГруНд1+15,""),IF(AND(YEAR(ГруНд1+22)=КалендарРік,MONTH(ГруНд1+22)=12),ГруНд1+22,""))</f>
        <v>43815</v>
      </c>
      <c r="L53" s="36">
        <f ca="1">IF(DAY(ГруНд1)=1,IF(AND(YEAR(ГруНд1+16)=КалендарРік,MONTH(ГруНд1+16)=12),ГруНд1+16,""),IF(AND(YEAR(ГруНд1+23)=КалендарРік,MONTH(ГруНд1+23)=12),ГруНд1+23,""))</f>
        <v>43816</v>
      </c>
      <c r="M53" s="36">
        <f ca="1">IF(DAY(ГруНд1)=1,IF(AND(YEAR(ГруНд1+17)=КалендарРік,MONTH(ГруНд1+17)=12),ГруНд1+17,""),IF(AND(YEAR(ГруНд1+24)=КалендарРік,MONTH(ГруНд1+24)=12),ГруНд1+24,""))</f>
        <v>43817</v>
      </c>
      <c r="N53" s="36">
        <f ca="1">IF(DAY(ГруНд1)=1,IF(AND(YEAR(ГруНд1+18)=КалендарРік,MONTH(ГруНд1+18)=12),ГруНд1+18,""),IF(AND(YEAR(ГруНд1+25)=КалендарРік,MONTH(ГруНд1+25)=12),ГруНд1+25,""))</f>
        <v>43818</v>
      </c>
      <c r="O53" s="36">
        <f ca="1">IF(DAY(ГруНд1)=1,IF(AND(YEAR(ГруНд1+19)=КалендарРік,MONTH(ГруНд1+19)=12),ГруНд1+19,""),IF(AND(YEAR(ГруНд1+26)=КалендарРік,MONTH(ГруНд1+26)=12),ГруНд1+26,""))</f>
        <v>43819</v>
      </c>
      <c r="P53" s="36">
        <f ca="1">IF(DAY(ГруНд1)=1,IF(AND(YEAR(ГруНд1+20)=КалендарРік,MONTH(ГруНд1+20)=12),ГруНд1+20,""),IF(AND(YEAR(ГруНд1+27)=КалендарРік,MONTH(ГруНд1+27)=12),ГруНд1+27,""))</f>
        <v>43820</v>
      </c>
      <c r="Q53" s="36">
        <f ca="1">IF(DAY(ГруНд1)=1,IF(AND(YEAR(ГруНд1+21)=КалендарРік,MONTH(ГруНд1+21)=12),ГруНд1+21,""),IF(AND(YEAR(ГруНд1+28)=КалендарРік,MONTH(ГруНд1+28)=12),ГруНд1+28,""))</f>
        <v>43821</v>
      </c>
      <c r="S53" s="5"/>
      <c r="U53" s="9"/>
    </row>
    <row r="54" spans="3:21" ht="15" customHeight="1" x14ac:dyDescent="0.2">
      <c r="C54" s="36">
        <f ca="1">IF(DAY(ЛисНд1)=1,IF(AND(YEAR(ЛисНд1+22)=КалендарРік,MONTH(ЛисНд1+22)=11),ЛисНд1+22,""),IF(AND(YEAR(ЛисНд1+29)=КалендарРік,MONTH(ЛисНд1+29)=11),ЛисНд1+29,""))</f>
        <v>43794</v>
      </c>
      <c r="D54" s="36">
        <f ca="1">IF(DAY(ЛисНд1)=1,IF(AND(YEAR(ЛисНд1+23)=КалендарРік,MONTH(ЛисНд1+23)=11),ЛисНд1+23,""),IF(AND(YEAR(ЛисНд1+30)=КалендарРік,MONTH(ЛисНд1+30)=11),ЛисНд1+30,""))</f>
        <v>43795</v>
      </c>
      <c r="E54" s="36">
        <f ca="1">IF(DAY(ЛисНд1)=1,IF(AND(YEAR(ЛисНд1+24)=КалендарРік,MONTH(ЛисНд1+24)=11),ЛисНд1+24,""),IF(AND(YEAR(ЛисНд1+31)=КалендарРік,MONTH(ЛисНд1+31)=11),ЛисНд1+31,""))</f>
        <v>43796</v>
      </c>
      <c r="F54" s="36">
        <f ca="1">IF(DAY(ЛисНд1)=1,IF(AND(YEAR(ЛисНд1+25)=КалендарРік,MONTH(ЛисНд1+25)=11),ЛисНд1+25,""),IF(AND(YEAR(ЛисНд1+32)=КалендарРік,MONTH(ЛисНд1+32)=11),ЛисНд1+32,""))</f>
        <v>43797</v>
      </c>
      <c r="G54" s="36">
        <f ca="1">IF(DAY(ЛисНд1)=1,IF(AND(YEAR(ЛисНд1+26)=КалендарРік,MONTH(ЛисНд1+26)=11),ЛисНд1+26,""),IF(AND(YEAR(ЛисНд1+33)=КалендарРік,MONTH(ЛисНд1+33)=11),ЛисНд1+33,""))</f>
        <v>43798</v>
      </c>
      <c r="H54" s="36">
        <f ca="1">IF(DAY(ЛисНд1)=1,IF(AND(YEAR(ЛисНд1+27)=КалендарРік,MONTH(ЛисНд1+27)=11),ЛисНд1+27,""),IF(AND(YEAR(ЛисНд1+34)=КалендарРік,MONTH(ЛисНд1+34)=11),ЛисНд1+34,""))</f>
        <v>43799</v>
      </c>
      <c r="I54" s="36" t="str">
        <f ca="1">IF(DAY(ЛисНд1)=1,IF(AND(YEAR(ЛисНд1+28)=КалендарРік,MONTH(ЛисНд1+28)=11),ЛисНд1+28,""),IF(AND(YEAR(ЛисНд1+35)=КалендарРік,MONTH(ЛисНд1+35)=11),ЛисНд1+35,""))</f>
        <v/>
      </c>
      <c r="J54" s="22"/>
      <c r="K54" s="36">
        <f ca="1">IF(DAY(ГруНд1)=1,IF(AND(YEAR(ГруНд1+22)=КалендарРік,MONTH(ГруНд1+22)=12),ГруНд1+22,""),IF(AND(YEAR(ГруНд1+29)=КалендарРік,MONTH(ГруНд1+29)=12),ГруНд1+29,""))</f>
        <v>43822</v>
      </c>
      <c r="L54" s="36">
        <f ca="1">IF(DAY(ГруНд1)=1,IF(AND(YEAR(ГруНд1+23)=КалендарРік,MONTH(ГруНд1+23)=12),ГруНд1+23,""),IF(AND(YEAR(ГруНд1+30)=КалендарРік,MONTH(ГруНд1+30)=12),ГруНд1+30,""))</f>
        <v>43823</v>
      </c>
      <c r="M54" s="36">
        <f ca="1">IF(DAY(ГруНд1)=1,IF(AND(YEAR(ГруНд1+24)=КалендарРік,MONTH(ГруНд1+24)=12),ГруНд1+24,""),IF(AND(YEAR(ГруНд1+31)=КалендарРік,MONTH(ГруНд1+31)=12),ГруНд1+31,""))</f>
        <v>43824</v>
      </c>
      <c r="N54" s="36">
        <f ca="1">IF(DAY(ГруНд1)=1,IF(AND(YEAR(ГруНд1+25)=КалендарРік,MONTH(ГруНд1+25)=12),ГруНд1+25,""),IF(AND(YEAR(ГруНд1+32)=КалендарРік,MONTH(ГруНд1+32)=12),ГруНд1+32,""))</f>
        <v>43825</v>
      </c>
      <c r="O54" s="36">
        <f ca="1">IF(DAY(ГруНд1)=1,IF(AND(YEAR(ГруНд1+26)=КалендарРік,MONTH(ГруНд1+26)=12),ГруНд1+26,""),IF(AND(YEAR(ГруНд1+33)=КалендарРік,MONTH(ГруНд1+33)=12),ГруНд1+33,""))</f>
        <v>43826</v>
      </c>
      <c r="P54" s="36">
        <f ca="1">IF(DAY(ГруНд1)=1,IF(AND(YEAR(ГруНд1+27)=КалендарРік,MONTH(ГруНд1+27)=12),ГруНд1+27,""),IF(AND(YEAR(ГруНд1+34)=КалендарРік,MONTH(ГруНд1+34)=12),ГруНд1+34,""))</f>
        <v>43827</v>
      </c>
      <c r="Q54" s="36">
        <f ca="1">IF(DAY(ГруНд1)=1,IF(AND(YEAR(ГруНд1+28)=КалендарРік,MONTH(ГруНд1+28)=12),ГруНд1+28,""),IF(AND(YEAR(ГруНд1+35)=КалендарРік,MONTH(ГруНд1+35)=12),ГруНд1+35,""))</f>
        <v>43828</v>
      </c>
      <c r="S54" s="5"/>
      <c r="U54" s="9"/>
    </row>
    <row r="55" spans="3:21" ht="15" customHeight="1" x14ac:dyDescent="0.2">
      <c r="C55" s="36" t="str">
        <f ca="1">IF(DAY(ЛисНд1)=1,IF(AND(YEAR(ЛисНд1+29)=КалендарРік,MONTH(ЛисНд1+29)=11),ЛисНд1+29,""),IF(AND(YEAR(ЛисНд1+36)=КалендарРік,MONTH(ЛисНд1+36)=11),ЛисНд1+36,""))</f>
        <v/>
      </c>
      <c r="D55" s="36" t="str">
        <f ca="1">IF(DAY(ЛисНд1)=1,IF(AND(YEAR(ЛисНд1+30)=КалендарРік,MONTH(ЛисНд1+30)=11),ЛисНд1+30,""),IF(AND(YEAR(ЛисНд1+37)=КалендарРік,MONTH(ЛисНд1+37)=11),ЛисНд1+37,""))</f>
        <v/>
      </c>
      <c r="E55" s="36" t="str">
        <f ca="1">IF(DAY(ЛисНд1)=1,IF(AND(YEAR(ЛисНд1+31)=КалендарРік,MONTH(ЛисНд1+31)=11),ЛисНд1+31,""),IF(AND(YEAR(ЛисНд1+38)=КалендарРік,MONTH(ЛисНд1+38)=11),ЛисНд1+38,""))</f>
        <v/>
      </c>
      <c r="F55" s="36" t="str">
        <f ca="1">IF(DAY(ЛисНд1)=1,IF(AND(YEAR(ЛисНд1+32)=КалендарРік,MONTH(ЛисНд1+32)=11),ЛисНд1+32,""),IF(AND(YEAR(ЛисНд1+39)=КалендарРік,MONTH(ЛисНд1+39)=11),ЛисНд1+39,""))</f>
        <v/>
      </c>
      <c r="G55" s="36" t="str">
        <f ca="1">IF(DAY(ЛисНд1)=1,IF(AND(YEAR(ЛисНд1+33)=КалендарРік,MONTH(ЛисНд1+33)=11),ЛисНд1+33,""),IF(AND(YEAR(ЛисНд1+40)=КалендарРік,MONTH(ЛисНд1+40)=11),ЛисНд1+40,""))</f>
        <v/>
      </c>
      <c r="H55" s="36" t="str">
        <f ca="1">IF(DAY(ЛисНд1)=1,IF(AND(YEAR(ЛисНд1+34)=КалендарРік,MONTH(ЛисНд1+34)=11),ЛисНд1+34,""),IF(AND(YEAR(ЛисНд1+41)=КалендарРік,MONTH(ЛисНд1+41)=11),ЛисНд1+41,""))</f>
        <v/>
      </c>
      <c r="I55" s="36" t="str">
        <f ca="1">IF(DAY(ЛисНд1)=1,IF(AND(YEAR(ЛисНд1+35)=КалендарРік,MONTH(ЛисНд1+35)=11),ЛисНд1+35,""),IF(AND(YEAR(ЛисНд1+42)=КалендарРік,MONTH(ЛисНд1+42)=11),ЛисНд1+42,""))</f>
        <v/>
      </c>
      <c r="J55" s="22"/>
      <c r="K55" s="36">
        <f ca="1">IF(DAY(ГруНд1)=1,IF(AND(YEAR(ГруНд1+29)=КалендарРік,MONTH(ГруНд1+29)=12),ГруНд1+29,""),IF(AND(YEAR(ГруНд1+36)=КалендарРік,MONTH(ГруНд1+36)=12),ГруНд1+36,""))</f>
        <v>43829</v>
      </c>
      <c r="L55" s="36">
        <f ca="1">IF(DAY(ГруНд1)=1,IF(AND(YEAR(ГруНд1+30)=КалендарРік,MONTH(ГруНд1+30)=12),ГруНд1+30,""),IF(AND(YEAR(ГруНд1+37)=КалендарРік,MONTH(ГруНд1+37)=12),ГруНд1+37,""))</f>
        <v>43830</v>
      </c>
      <c r="M55" s="36" t="str">
        <f ca="1">IF(DAY(ГруНд1)=1,IF(AND(YEAR(ГруНд1+31)=КалендарРік,MONTH(ГруНд1+31)=12),ГруНд1+31,""),IF(AND(YEAR(ГруНд1+38)=КалендарРік,MONTH(ГруНд1+38)=12),ГруНд1+38,""))</f>
        <v/>
      </c>
      <c r="N55" s="36" t="str">
        <f ca="1">IF(DAY(ГруНд1)=1,IF(AND(YEAR(ГруНд1+32)=КалендарРік,MONTH(ГруНд1+32)=12),ГруНд1+32,""),IF(AND(YEAR(ГруНд1+39)=КалендарРік,MONTH(ГруНд1+39)=12),ГруНд1+39,""))</f>
        <v/>
      </c>
      <c r="O55" s="36" t="str">
        <f ca="1">IF(DAY(ГруНд1)=1,IF(AND(YEAR(ГруНд1+33)=КалендарРік,MONTH(ГруНд1+33)=12),ГруНд1+33,""),IF(AND(YEAR(ГруНд1+40)=КалендарРік,MONTH(ГруНд1+40)=12),ГруНд1+40,""))</f>
        <v/>
      </c>
      <c r="P55" s="36" t="str">
        <f ca="1">IF(DAY(ГруНд1)=1,IF(AND(YEAR(ГруНд1+34)=КалендарРік,MONTH(ГруНд1+34)=12),ГруНд1+34,""),IF(AND(YEAR(ГруНд1+41)=КалендарРік,MONTH(ГруНд1+41)=12),ГруНд1+41,""))</f>
        <v/>
      </c>
      <c r="Q55" s="36" t="str">
        <f ca="1">IF(DAY(ГруНд1)=1,IF(AND(YEAR(ГруНд1+35)=КалендарРік,MONTH(ГруНд1+35)=12),ГруНд1+35,""),IF(AND(YEAR(ГруНд1+42)=КалендарРік,MONTH(ГруНд1+42)=12),ГруНд1+42,""))</f>
        <v/>
      </c>
      <c r="S55" s="5"/>
      <c r="U55" s="9"/>
    </row>
    <row r="56" spans="3:21" ht="15" customHeight="1" x14ac:dyDescent="0.2">
      <c r="K56" s="2"/>
      <c r="L56" s="2"/>
      <c r="M56" s="2"/>
      <c r="N56" s="2"/>
      <c r="O56" s="2"/>
      <c r="P56" s="2"/>
      <c r="Q56" s="2"/>
      <c r="U56" s="9"/>
    </row>
    <row r="57" spans="3:21" ht="15" customHeight="1" x14ac:dyDescent="0.2">
      <c r="U57" s="9"/>
    </row>
    <row r="58" spans="3:21" ht="15" customHeight="1" x14ac:dyDescent="0.2"/>
    <row r="59" spans="3:21" ht="15" customHeight="1" x14ac:dyDescent="0.2"/>
    <row r="60" spans="3:21" ht="15" customHeight="1" x14ac:dyDescent="0.2"/>
    <row r="61" spans="3:21" ht="15" customHeight="1" x14ac:dyDescent="0.2"/>
    <row r="62" spans="3:21" ht="15" customHeight="1" x14ac:dyDescent="0.2"/>
    <row r="63" spans="3:21" ht="15" customHeight="1" x14ac:dyDescent="0.2"/>
    <row r="64" spans="3:21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</sheetData>
  <mergeCells count="1">
    <mergeCell ref="C1:F1"/>
  </mergeCells>
  <phoneticPr fontId="2" type="noConversion"/>
  <dataValidations count="1">
    <dataValidation allowBlank="1" showInputMessage="1" showErrorMessage="1" errorTitle="Неприпустимий рік" error="Введіть рік у проміжку між 1900 і 9999 або виберіть потрібний за допомогою смуги прокручування." sqref="C1:F1" xr:uid="{00000000-0002-0000-0000-000000000000}"/>
  </dataValidations>
  <printOptions horizontalCentered="1" verticalCentered="1"/>
  <pageMargins left="0.5" right="0.5" top="0.5" bottom="0.5" header="0.3" footer="0.3"/>
  <pageSetup paperSize="9" scale="83" orientation="portrait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Лічильник">
              <controlPr defaultSize="0" print="0" autoPict="0" altText="Натисніть кнопку лічильника, щоб змінити рік календаря, або введіть потрібне значення в клітинку B1.">
                <anchor moveWithCells="1">
                  <from>
                    <xdr:col>1</xdr:col>
                    <xdr:colOff>114300</xdr:colOff>
                    <xdr:row>0</xdr:row>
                    <xdr:rowOff>38100</xdr:rowOff>
                  </from>
                  <to>
                    <xdr:col>1</xdr:col>
                    <xdr:colOff>266700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4" baseType="variant">
      <vt:variant>
        <vt:lpstr>Аркуші</vt:lpstr>
      </vt:variant>
      <vt:variant>
        <vt:i4>1</vt:i4>
      </vt:variant>
      <vt:variant>
        <vt:lpstr>Іменовані діапазони</vt:lpstr>
      </vt:variant>
      <vt:variant>
        <vt:i4>2</vt:i4>
      </vt:variant>
    </vt:vector>
  </HeadingPairs>
  <TitlesOfParts>
    <vt:vector size="3" baseType="lpstr">
      <vt:lpstr>Річний календар</vt:lpstr>
      <vt:lpstr>КалендарРік</vt:lpstr>
      <vt:lpstr>'Річний календар'!Область_друку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terms:created xsi:type="dcterms:W3CDTF">2017-11-29T09:38:15Z</dcterms:created>
  <dcterms:modified xsi:type="dcterms:W3CDTF">2019-06-14T05:18:32Z</dcterms:modified>
</cp:coreProperties>
</file>